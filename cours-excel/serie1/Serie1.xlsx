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methee\Desktop\"/>
    </mc:Choice>
  </mc:AlternateContent>
  <xr:revisionPtr revIDLastSave="0" documentId="8_{A5C1E8D1-780A-4778-9240-867ED6C63103}" xr6:coauthVersionLast="45" xr6:coauthVersionMax="45" xr10:uidLastSave="{00000000-0000-0000-0000-000000000000}"/>
  <bookViews>
    <workbookView xWindow="-103" yWindow="-103" windowWidth="22149" windowHeight="11949" activeTab="6" xr2:uid="{00000000-000D-0000-FFFF-FFFF00000000}"/>
  </bookViews>
  <sheets>
    <sheet name="Overview" sheetId="1" r:id="rId1"/>
    <sheet name="Count" sheetId="6" r:id="rId2"/>
    <sheet name="Sum" sheetId="4" r:id="rId3"/>
    <sheet name="Product" sheetId="5" r:id="rId4"/>
    <sheet name="Average" sheetId="3" r:id="rId5"/>
    <sheet name="Rounding" sheetId="2" r:id="rId6"/>
    <sheet name="Reference" sheetId="26" r:id="rId7"/>
    <sheet name="Data_validation" sheetId="27" r:id="rId8"/>
    <sheet name="Random" sheetId="28" r:id="rId9"/>
    <sheet name="Exercise1" sheetId="8" r:id="rId10"/>
    <sheet name="Exercise1-Solution" sheetId="10" r:id="rId11"/>
    <sheet name="Exercise2" sheetId="11" r:id="rId12"/>
    <sheet name="Exercise2-Solution" sheetId="12" r:id="rId13"/>
    <sheet name="Exercise3" sheetId="14" r:id="rId14"/>
    <sheet name="Exercise3-Solution" sheetId="13" r:id="rId15"/>
    <sheet name="Exercice4" sheetId="15" r:id="rId16"/>
    <sheet name="Exercice4-Solution" sheetId="16" r:id="rId17"/>
  </sheets>
  <definedNames>
    <definedName name="A" localSheetId="16">#REF!</definedName>
    <definedName name="A" localSheetId="13">#REF!</definedName>
    <definedName name="A" localSheetId="6">#REF!</definedName>
    <definedName name="A">#REF!</definedName>
    <definedName name="April" localSheetId="16">#REF!</definedName>
    <definedName name="April" localSheetId="13">#REF!</definedName>
    <definedName name="April">#REF!</definedName>
    <definedName name="B" localSheetId="16">#REF!</definedName>
    <definedName name="B" localSheetId="13">#REF!</definedName>
    <definedName name="B">#REF!</definedName>
    <definedName name="C_" localSheetId="16">#REF!</definedName>
    <definedName name="C_" localSheetId="13">#REF!</definedName>
    <definedName name="C_">#REF!</definedName>
    <definedName name="Collection" localSheetId="16">#REF!</definedName>
    <definedName name="Collection" localSheetId="13">#REF!</definedName>
    <definedName name="Collection">#REF!</definedName>
    <definedName name="D" localSheetId="16">#REF!</definedName>
    <definedName name="D" localSheetId="13">#REF!</definedName>
    <definedName name="D">#REF!</definedName>
    <definedName name="DD">#REF!</definedName>
    <definedName name="February" localSheetId="16">#REF!</definedName>
    <definedName name="February" localSheetId="13">#REF!</definedName>
    <definedName name="February">#REF!</definedName>
    <definedName name="ID" localSheetId="16">#REF!</definedName>
    <definedName name="ID" localSheetId="13">#REF!</definedName>
    <definedName name="ID">#REF!</definedName>
    <definedName name="InStock" localSheetId="16">#REF!</definedName>
    <definedName name="InStock" localSheetId="13">#REF!</definedName>
    <definedName name="InStock">#REF!</definedName>
    <definedName name="January" localSheetId="16">#REF!</definedName>
    <definedName name="January" localSheetId="13">#REF!</definedName>
    <definedName name="January">#REF!</definedName>
    <definedName name="June" localSheetId="16">#REF!</definedName>
    <definedName name="June" localSheetId="13">#REF!</definedName>
    <definedName name="June">#REF!</definedName>
    <definedName name="March" localSheetId="16">#REF!</definedName>
    <definedName name="March" localSheetId="13">#REF!</definedName>
    <definedName name="March">#REF!</definedName>
    <definedName name="May" localSheetId="16">#REF!</definedName>
    <definedName name="May" localSheetId="13">#REF!</definedName>
    <definedName name="May">#REF!</definedName>
    <definedName name="OnOrder" localSheetId="16">#REF!</definedName>
    <definedName name="OnOrder" localSheetId="13">#REF!</definedName>
    <definedName name="OnOrder">#REF!</definedName>
    <definedName name="ProdName" localSheetId="16">#REF!</definedName>
    <definedName name="ProdName" localSheetId="13">#REF!</definedName>
    <definedName name="ProdName">#REF!</definedName>
    <definedName name="ReorderLevel" localSheetId="16">#REF!</definedName>
    <definedName name="ReorderLevel" localSheetId="13">#REF!</definedName>
    <definedName name="ReorderLevel">#REF!</definedName>
    <definedName name="Table1" localSheetId="16">#REF!</definedName>
    <definedName name="Table1" localSheetId="13">#REF!</definedName>
    <definedName name="Table1">#REF!</definedName>
    <definedName name="Table2" localSheetId="16">#REF!</definedName>
    <definedName name="Table2" localSheetId="13">#REF!</definedName>
    <definedName name="Table2">#REF!</definedName>
    <definedName name="test" localSheetId="16">#REF!</definedName>
    <definedName name="test" localSheetId="13">#REF!</definedName>
    <definedName name="test">#REF!</definedName>
    <definedName name="UnitPrice" localSheetId="16">#REF!</definedName>
    <definedName name="UnitPrice" localSheetId="13">#REF!</definedName>
    <definedName name="UnitPr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9" i="26" l="1"/>
  <c r="D9" i="5" l="1"/>
  <c r="C21" i="28" l="1"/>
  <c r="E21" i="28"/>
  <c r="D21" i="28"/>
  <c r="D13" i="28"/>
  <c r="E13" i="28"/>
  <c r="C13" i="28"/>
  <c r="D9" i="28"/>
  <c r="E9" i="28"/>
  <c r="C9" i="28"/>
  <c r="D8" i="5"/>
  <c r="D7" i="5"/>
  <c r="D6" i="5"/>
  <c r="K6" i="14" l="1"/>
  <c r="C8" i="12"/>
  <c r="D8" i="12" s="1"/>
  <c r="E8" i="12" s="1"/>
  <c r="F8" i="12" s="1"/>
  <c r="C9" i="12"/>
  <c r="D9" i="12" s="1"/>
  <c r="E9" i="12" s="1"/>
  <c r="F9" i="12" s="1"/>
  <c r="C10" i="12"/>
  <c r="D10" i="12" s="1"/>
  <c r="E10" i="12" s="1"/>
  <c r="F10" i="12" s="1"/>
  <c r="C11" i="12"/>
  <c r="D11" i="12" s="1"/>
  <c r="E11" i="12" s="1"/>
  <c r="F11" i="12" s="1"/>
  <c r="C12" i="12"/>
  <c r="D12" i="12" s="1"/>
  <c r="E12" i="12" s="1"/>
  <c r="F12" i="12" s="1"/>
  <c r="C13" i="12"/>
  <c r="D13" i="12" s="1"/>
  <c r="E13" i="12" s="1"/>
  <c r="F13" i="12" s="1"/>
  <c r="C14" i="12"/>
  <c r="D14" i="12" s="1"/>
  <c r="E14" i="12" s="1"/>
  <c r="F14" i="12" s="1"/>
  <c r="C15" i="12"/>
  <c r="D15" i="12" s="1"/>
  <c r="E15" i="12" s="1"/>
  <c r="F15" i="12" s="1"/>
  <c r="C16" i="12"/>
  <c r="D16" i="12" s="1"/>
  <c r="E16" i="12" s="1"/>
  <c r="F16" i="12" s="1"/>
  <c r="C17" i="12"/>
  <c r="D17" i="12" s="1"/>
  <c r="E17" i="12" s="1"/>
  <c r="F17" i="12" s="1"/>
  <c r="C7" i="12"/>
  <c r="D7" i="12" s="1"/>
  <c r="E7" i="12" s="1"/>
  <c r="F7" i="12" l="1"/>
  <c r="E18" i="12"/>
  <c r="E19" i="12" s="1"/>
  <c r="C18" i="12"/>
  <c r="C19" i="12" s="1"/>
  <c r="F13" i="26"/>
  <c r="F14" i="26"/>
  <c r="I14" i="26"/>
  <c r="K14" i="26"/>
  <c r="F15" i="26"/>
  <c r="I15" i="26"/>
  <c r="K15" i="26"/>
  <c r="F16" i="26"/>
  <c r="I16" i="26"/>
  <c r="K16" i="26"/>
  <c r="I19" i="26"/>
  <c r="J19" i="26"/>
  <c r="I26" i="16" l="1"/>
  <c r="H26" i="16"/>
  <c r="G26" i="16"/>
  <c r="F26" i="16"/>
  <c r="E26" i="16"/>
  <c r="D26" i="16"/>
  <c r="C26" i="16"/>
  <c r="B26" i="16"/>
  <c r="I25" i="16"/>
  <c r="H25" i="16"/>
  <c r="G25" i="16"/>
  <c r="F25" i="16"/>
  <c r="E25" i="16"/>
  <c r="D25" i="16"/>
  <c r="C25" i="16"/>
  <c r="B25" i="16"/>
  <c r="I24" i="16"/>
  <c r="H24" i="16"/>
  <c r="G24" i="16"/>
  <c r="F24" i="16"/>
  <c r="E24" i="16"/>
  <c r="D24" i="16"/>
  <c r="C24" i="16"/>
  <c r="B24" i="16"/>
  <c r="I23" i="16"/>
  <c r="H23" i="16"/>
  <c r="G23" i="16"/>
  <c r="F23" i="16"/>
  <c r="E23" i="16"/>
  <c r="D23" i="16"/>
  <c r="C23" i="16"/>
  <c r="B23" i="16"/>
  <c r="I22" i="16"/>
  <c r="H22" i="16"/>
  <c r="G22" i="16"/>
  <c r="F22" i="16"/>
  <c r="E22" i="16"/>
  <c r="D22" i="16"/>
  <c r="C22" i="16"/>
  <c r="B22" i="16"/>
  <c r="I20" i="16"/>
  <c r="H20" i="16"/>
  <c r="G20" i="16"/>
  <c r="F20" i="16"/>
  <c r="E20" i="16"/>
  <c r="D20" i="16"/>
  <c r="C20" i="16"/>
  <c r="B20" i="16"/>
  <c r="I19" i="16"/>
  <c r="H19" i="16"/>
  <c r="G19" i="16"/>
  <c r="F19" i="16"/>
  <c r="E19" i="16"/>
  <c r="D19" i="16"/>
  <c r="C19" i="16"/>
  <c r="B19" i="16"/>
  <c r="I18" i="16"/>
  <c r="H18" i="16"/>
  <c r="G18" i="16"/>
  <c r="F18" i="16"/>
  <c r="E18" i="16"/>
  <c r="D18" i="16"/>
  <c r="C18" i="16"/>
  <c r="B18" i="16"/>
  <c r="I17" i="16"/>
  <c r="H17" i="16"/>
  <c r="G17" i="16"/>
  <c r="F17" i="16"/>
  <c r="E17" i="16"/>
  <c r="D17" i="16"/>
  <c r="C17" i="16"/>
  <c r="B17" i="16"/>
  <c r="I16" i="16"/>
  <c r="H16" i="16"/>
  <c r="G16" i="16"/>
  <c r="F16" i="16"/>
  <c r="E16" i="16"/>
  <c r="D16" i="16"/>
  <c r="C16" i="16"/>
  <c r="B16" i="16"/>
  <c r="I14" i="16"/>
  <c r="H14" i="16"/>
  <c r="G14" i="16"/>
  <c r="F14" i="16"/>
  <c r="E14" i="16"/>
  <c r="D14" i="16"/>
  <c r="C14" i="16"/>
  <c r="B14" i="16"/>
  <c r="I13" i="16"/>
  <c r="H13" i="16"/>
  <c r="G13" i="16"/>
  <c r="F13" i="16"/>
  <c r="E13" i="16"/>
  <c r="D13" i="16"/>
  <c r="C13" i="16"/>
  <c r="B13" i="16"/>
  <c r="I12" i="16"/>
  <c r="H12" i="16"/>
  <c r="G12" i="16"/>
  <c r="F12" i="16"/>
  <c r="E12" i="16"/>
  <c r="D12" i="16"/>
  <c r="C12" i="16"/>
  <c r="B12" i="16"/>
  <c r="I11" i="16"/>
  <c r="H11" i="16"/>
  <c r="G11" i="16"/>
  <c r="F11" i="16"/>
  <c r="E11" i="16"/>
  <c r="D11" i="16"/>
  <c r="C11" i="16"/>
  <c r="B11" i="16"/>
  <c r="I9" i="16"/>
  <c r="H9" i="16"/>
  <c r="G9" i="16"/>
  <c r="F9" i="16"/>
  <c r="E9" i="16"/>
  <c r="D9" i="16"/>
  <c r="C9" i="16"/>
  <c r="B9" i="16"/>
  <c r="I8" i="16"/>
  <c r="H8" i="16"/>
  <c r="G8" i="16"/>
  <c r="F8" i="16"/>
  <c r="E8" i="16"/>
  <c r="D8" i="16"/>
  <c r="C8" i="16"/>
  <c r="B8" i="16"/>
  <c r="I7" i="16"/>
  <c r="H7" i="16"/>
  <c r="G7" i="16"/>
  <c r="F7" i="16"/>
  <c r="E7" i="16"/>
  <c r="D7" i="16"/>
  <c r="C7" i="16"/>
  <c r="B7" i="16"/>
  <c r="I6" i="16"/>
  <c r="H6" i="16"/>
  <c r="G6" i="16"/>
  <c r="F6" i="16"/>
  <c r="E6" i="16"/>
  <c r="D6" i="16"/>
  <c r="C6" i="16"/>
  <c r="B6" i="16"/>
  <c r="I5" i="16"/>
  <c r="H5" i="16"/>
  <c r="G5" i="16"/>
  <c r="F5" i="16"/>
  <c r="E5" i="16"/>
  <c r="D5" i="16"/>
  <c r="C5" i="16"/>
  <c r="B5" i="16"/>
  <c r="I4" i="16"/>
  <c r="H4" i="16"/>
  <c r="G4" i="16"/>
  <c r="F4" i="16"/>
  <c r="E4" i="16"/>
  <c r="D4" i="16"/>
  <c r="C4" i="16"/>
  <c r="B4" i="16"/>
  <c r="I27" i="16" l="1"/>
  <c r="I28" i="16" s="1"/>
  <c r="P14" i="16"/>
  <c r="F27" i="16"/>
  <c r="F28" i="16" s="1"/>
  <c r="B27" i="16"/>
  <c r="B28" i="16" s="1"/>
  <c r="E27" i="16"/>
  <c r="E28" i="16" s="1"/>
  <c r="C27" i="16"/>
  <c r="C28" i="16" s="1"/>
  <c r="D27" i="16"/>
  <c r="D28" i="16" s="1"/>
  <c r="G27" i="16"/>
  <c r="G28" i="16" s="1"/>
  <c r="H27" i="16"/>
  <c r="H28" i="16" s="1"/>
  <c r="G9" i="13"/>
  <c r="D9" i="13"/>
  <c r="G8" i="13"/>
  <c r="D8" i="13"/>
  <c r="G7" i="13"/>
  <c r="D7" i="13"/>
  <c r="G6" i="13"/>
  <c r="D6" i="13"/>
  <c r="G5" i="13"/>
  <c r="D5" i="13"/>
  <c r="G4" i="13"/>
  <c r="D4" i="13"/>
  <c r="B18" i="12"/>
  <c r="B19" i="12" s="1"/>
  <c r="L4" i="10"/>
  <c r="M4" i="10" s="1"/>
  <c r="L7" i="10"/>
  <c r="M7" i="10" s="1"/>
  <c r="L6" i="10"/>
  <c r="M6" i="10" s="1"/>
  <c r="L5" i="10"/>
  <c r="M5" i="10" s="1"/>
  <c r="F5" i="10"/>
  <c r="G5" i="10" s="1"/>
  <c r="F6" i="10"/>
  <c r="G6" i="10" s="1"/>
  <c r="F7" i="10"/>
  <c r="G7" i="10" s="1"/>
  <c r="O7" i="10" s="1"/>
  <c r="F4" i="10"/>
  <c r="G4" i="10" s="1"/>
  <c r="I7" i="13" l="1"/>
  <c r="I8" i="13"/>
  <c r="I9" i="13"/>
  <c r="G10" i="13"/>
  <c r="O6" i="10"/>
  <c r="F9" i="10"/>
  <c r="G9" i="10" s="1"/>
  <c r="D10" i="13"/>
  <c r="I5" i="13"/>
  <c r="L5" i="13"/>
  <c r="I6" i="13"/>
  <c r="F8" i="10"/>
  <c r="G8" i="10" s="1"/>
  <c r="J9" i="12"/>
  <c r="J10" i="12" s="1"/>
  <c r="F29" i="16"/>
  <c r="F30" i="16" s="1"/>
  <c r="B29" i="16"/>
  <c r="B30" i="16" s="1"/>
  <c r="I4" i="13"/>
  <c r="L4" i="13"/>
  <c r="F18" i="12"/>
  <c r="F19" i="12" s="1"/>
  <c r="O5" i="10"/>
  <c r="O4" i="10"/>
  <c r="L8" i="10"/>
  <c r="M8" i="10" s="1"/>
  <c r="L9" i="10"/>
  <c r="M9" i="10" s="1"/>
  <c r="O8" i="10" l="1"/>
  <c r="I10" i="13"/>
  <c r="L6" i="13"/>
  <c r="F7" i="6" l="1"/>
  <c r="C6" i="4" l="1"/>
  <c r="C7" i="4"/>
  <c r="C8" i="4"/>
  <c r="C9" i="4"/>
  <c r="C6" i="3"/>
  <c r="C7" i="3"/>
  <c r="C8" i="3"/>
  <c r="C9" i="3"/>
  <c r="A3" i="2"/>
  <c r="D3" i="2"/>
  <c r="A4" i="2"/>
  <c r="D4" i="2"/>
  <c r="A5" i="2"/>
  <c r="D5" i="2"/>
  <c r="A8" i="2"/>
  <c r="D8" i="2"/>
  <c r="D18" i="12" l="1"/>
  <c r="D19" i="12" s="1"/>
  <c r="J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Camille Tardy</author>
  </authors>
  <commentList>
    <comment ref="A10" authorId="0" shapeId="0" xr:uid="{00000000-0006-0000-1000-000001000000}">
      <text>
        <r>
          <rPr>
            <b/>
            <sz val="10"/>
            <color rgb="FF000000"/>
            <rFont val="Tahoma"/>
            <family val="2"/>
          </rPr>
          <t>Camille Tardy: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Did not answer the survey
</t>
        </r>
      </text>
    </comment>
    <comment ref="A15" authorId="0" shapeId="0" xr:uid="{00000000-0006-0000-1000-000002000000}">
      <text>
        <r>
          <rPr>
            <b/>
            <sz val="10"/>
            <color rgb="FF000000"/>
            <rFont val="Tahoma"/>
            <family val="2"/>
          </rPr>
          <t>Camille Tardy: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Did not answer the survey</t>
        </r>
      </text>
    </comment>
    <comment ref="A21" authorId="0" shapeId="0" xr:uid="{00000000-0006-0000-1000-000003000000}">
      <text>
        <r>
          <rPr>
            <b/>
            <sz val="10"/>
            <color rgb="FF000000"/>
            <rFont val="Tahoma"/>
            <family val="2"/>
          </rPr>
          <t>Camille Tardy: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Did not answer the survey</t>
        </r>
      </text>
    </comment>
  </commentList>
</comments>
</file>

<file path=xl/sharedStrings.xml><?xml version="1.0" encoding="utf-8"?>
<sst xmlns="http://schemas.openxmlformats.org/spreadsheetml/2006/main" count="410" uniqueCount="247">
  <si>
    <t>result</t>
  </si>
  <si>
    <t>Formula with references</t>
  </si>
  <si>
    <t>multiple</t>
  </si>
  <si>
    <t>value</t>
  </si>
  <si>
    <t>formula with values</t>
  </si>
  <si>
    <t>number digits</t>
  </si>
  <si>
    <t>values</t>
  </si>
  <si>
    <t>Parameters</t>
  </si>
  <si>
    <t>formula</t>
  </si>
  <si>
    <t>Math formulas part 1</t>
  </si>
  <si>
    <t xml:space="preserve">Rounding </t>
  </si>
  <si>
    <t>Average</t>
  </si>
  <si>
    <t>Sum</t>
  </si>
  <si>
    <t>Product</t>
  </si>
  <si>
    <t>First, detail presentation of some of the fomulas we are using this week:</t>
  </si>
  <si>
    <t>(click on the name to jump to the tab)</t>
  </si>
  <si>
    <t>1. Fomula presentation</t>
  </si>
  <si>
    <t>2. Exercices</t>
  </si>
  <si>
    <t>Count</t>
  </si>
  <si>
    <t>Data sets</t>
  </si>
  <si>
    <t xml:space="preserve"> </t>
  </si>
  <si>
    <t xml:space="preserve">Data set : </t>
  </si>
  <si>
    <t>Tameka Letellier  </t>
  </si>
  <si>
    <t>Shaunta Kowalski  </t>
  </si>
  <si>
    <t>Nathanael Kendig  </t>
  </si>
  <si>
    <t>Lucille Hotchkiss  </t>
  </si>
  <si>
    <t>Ivy Sheaffer  </t>
  </si>
  <si>
    <t>Margarette Trinh  </t>
  </si>
  <si>
    <t>Belva Unruh  </t>
  </si>
  <si>
    <t>Jannet Dengler  </t>
  </si>
  <si>
    <t>An Ismail  </t>
  </si>
  <si>
    <t>Mistie Tippetts  </t>
  </si>
  <si>
    <t>Lindsey Novick  </t>
  </si>
  <si>
    <t>Eulalia Buda  </t>
  </si>
  <si>
    <t>Leticia Gamblin  </t>
  </si>
  <si>
    <t>Mollie Hennigan  </t>
  </si>
  <si>
    <t>Otis Odaniel  </t>
  </si>
  <si>
    <t>Clark Houge  </t>
  </si>
  <si>
    <t>Freda Ditullio  </t>
  </si>
  <si>
    <t>Jeffrey Kemmerer  </t>
  </si>
  <si>
    <t>Else Sherk  </t>
  </si>
  <si>
    <t>Bonnie Deborde  </t>
  </si>
  <si>
    <t>Yelena Odegaard  </t>
  </si>
  <si>
    <t>Brendon Nakayama  </t>
  </si>
  <si>
    <t>Granville Dahms  </t>
  </si>
  <si>
    <t>Lekisha Fillman  </t>
  </si>
  <si>
    <t>Robbie Carrasco  </t>
  </si>
  <si>
    <t>Latonya Florence  </t>
  </si>
  <si>
    <t>Concetta Fuselier  </t>
  </si>
  <si>
    <t>Soledad Stiger  </t>
  </si>
  <si>
    <t>Tess Ewan  </t>
  </si>
  <si>
    <t>Dyan Zaremba  </t>
  </si>
  <si>
    <t>Shenika Higuera  </t>
  </si>
  <si>
    <t>Dian Kitamura  </t>
  </si>
  <si>
    <t>Juliette Casey  </t>
  </si>
  <si>
    <t>Elma Wiedman  </t>
  </si>
  <si>
    <t>Sylvia Fred  </t>
  </si>
  <si>
    <t>1st Semester</t>
  </si>
  <si>
    <t>January</t>
  </si>
  <si>
    <t>February</t>
  </si>
  <si>
    <t>March</t>
  </si>
  <si>
    <t>Total</t>
  </si>
  <si>
    <t>April</t>
  </si>
  <si>
    <t>May</t>
  </si>
  <si>
    <t>June</t>
  </si>
  <si>
    <t>results</t>
  </si>
  <si>
    <t xml:space="preserve">Total: </t>
  </si>
  <si>
    <t>Average:</t>
  </si>
  <si>
    <r>
      <t>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Trimester</t>
    </r>
  </si>
  <si>
    <r>
      <t>2</t>
    </r>
    <r>
      <rPr>
        <b/>
        <vertAlign val="superscript"/>
        <sz val="12"/>
        <rFont val="Arial"/>
        <family val="2"/>
      </rPr>
      <t>nd</t>
    </r>
    <r>
      <rPr>
        <b/>
        <sz val="12"/>
        <rFont val="Arial"/>
        <family val="2"/>
      </rPr>
      <t xml:space="preserve"> Trimester</t>
    </r>
  </si>
  <si>
    <r>
      <t>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Semester</t>
    </r>
  </si>
  <si>
    <t>Total Rounded</t>
  </si>
  <si>
    <t>Total rounded</t>
  </si>
  <si>
    <r>
      <t>1</t>
    </r>
    <r>
      <rPr>
        <vertAlign val="superscript"/>
        <sz val="12"/>
        <rFont val="Arial"/>
        <family val="2"/>
      </rPr>
      <t>st</t>
    </r>
    <r>
      <rPr>
        <sz val="12"/>
        <rFont val="Arial"/>
        <family val="2"/>
      </rPr>
      <t xml:space="preserve"> Trimester</t>
    </r>
  </si>
  <si>
    <r>
      <t>2</t>
    </r>
    <r>
      <rPr>
        <vertAlign val="superscript"/>
        <sz val="12"/>
        <rFont val="Arial"/>
        <family val="2"/>
      </rPr>
      <t>nd</t>
    </r>
    <r>
      <rPr>
        <sz val="12"/>
        <rFont val="Arial"/>
        <family val="2"/>
      </rPr>
      <t xml:space="preserve"> Trimester</t>
    </r>
  </si>
  <si>
    <t>the solution</t>
  </si>
  <si>
    <t xml:space="preserve">Exercise 2 </t>
  </si>
  <si>
    <t>Exercise 1</t>
  </si>
  <si>
    <t>Exercise 3</t>
  </si>
  <si>
    <t>results rounded</t>
  </si>
  <si>
    <t>Rate (Euro) to (Yen)</t>
  </si>
  <si>
    <t>(%) Commision</t>
  </si>
  <si>
    <t>Sales Rep.</t>
  </si>
  <si>
    <t>Sales (Euros)</t>
  </si>
  <si>
    <t xml:space="preserve">Sales (Yen) </t>
  </si>
  <si>
    <t>Commission (Yen)</t>
  </si>
  <si>
    <t>Chinese Dashboard</t>
  </si>
  <si>
    <t>Benson</t>
  </si>
  <si>
    <t>Davidson</t>
  </si>
  <si>
    <t>Ellison</t>
  </si>
  <si>
    <t>Gomez</t>
  </si>
  <si>
    <t>Benefit (Sales - Comm.) :</t>
  </si>
  <si>
    <t>Hernandez</t>
  </si>
  <si>
    <t>Average Comm. :</t>
  </si>
  <si>
    <t>Kelly</t>
  </si>
  <si>
    <t>Martin</t>
  </si>
  <si>
    <t>Oswald</t>
  </si>
  <si>
    <t>Reginald</t>
  </si>
  <si>
    <t>Veras</t>
  </si>
  <si>
    <t>Wilmington</t>
  </si>
  <si>
    <t>Total :</t>
  </si>
  <si>
    <r>
      <t xml:space="preserve">Rate </t>
    </r>
    <r>
      <rPr>
        <b/>
        <sz val="12"/>
        <rFont val="Calibri"/>
        <family val="2"/>
      </rPr>
      <t>€</t>
    </r>
    <r>
      <rPr>
        <b/>
        <sz val="12"/>
        <rFont val="Arial"/>
        <family val="2"/>
      </rPr>
      <t xml:space="preserve"> to </t>
    </r>
    <r>
      <rPr>
        <b/>
        <sz val="12"/>
        <rFont val="Calibri"/>
        <family val="2"/>
      </rPr>
      <t>¥</t>
    </r>
  </si>
  <si>
    <t>(%) Commission</t>
  </si>
  <si>
    <r>
      <t xml:space="preserve">Sales </t>
    </r>
    <r>
      <rPr>
        <b/>
        <sz val="12"/>
        <color theme="1"/>
        <rFont val="Calibri"/>
        <family val="2"/>
      </rPr>
      <t>€</t>
    </r>
  </si>
  <si>
    <r>
      <t xml:space="preserve">Sales </t>
    </r>
    <r>
      <rPr>
        <b/>
        <sz val="12"/>
        <color theme="1"/>
        <rFont val="Calibri"/>
        <family val="2"/>
      </rPr>
      <t>¥</t>
    </r>
    <r>
      <rPr>
        <b/>
        <sz val="12"/>
        <color theme="1"/>
        <rFont val="Arial"/>
        <family val="2"/>
      </rPr>
      <t xml:space="preserve"> </t>
    </r>
  </si>
  <si>
    <r>
      <t xml:space="preserve">Commission </t>
    </r>
    <r>
      <rPr>
        <b/>
        <sz val="12"/>
        <color theme="1"/>
        <rFont val="Calibri"/>
        <family val="2"/>
      </rPr>
      <t>¥</t>
    </r>
  </si>
  <si>
    <t>Rounded Average Comm. :</t>
  </si>
  <si>
    <t>rounded Total :</t>
  </si>
  <si>
    <r>
      <t>Time Tracking</t>
    </r>
    <r>
      <rPr>
        <b/>
        <sz val="12"/>
        <rFont val="Calibri"/>
        <family val="2"/>
      </rPr>
      <t>®</t>
    </r>
  </si>
  <si>
    <t xml:space="preserve">Monday </t>
  </si>
  <si>
    <t>Tuesday</t>
  </si>
  <si>
    <t>Student Dashboard</t>
  </si>
  <si>
    <t>Start</t>
  </si>
  <si>
    <t>End</t>
  </si>
  <si>
    <r>
      <rPr>
        <b/>
        <sz val="12"/>
        <rFont val="Calibri"/>
        <family val="2"/>
      </rPr>
      <t>∑</t>
    </r>
    <r>
      <rPr>
        <b/>
        <sz val="12"/>
        <rFont val="Arial"/>
        <family val="2"/>
      </rPr>
      <t>(h)</t>
    </r>
  </si>
  <si>
    <t>Total Week</t>
  </si>
  <si>
    <t>Project Management</t>
  </si>
  <si>
    <t>AVG (MON)</t>
  </si>
  <si>
    <t>Information System</t>
  </si>
  <si>
    <t>AVG (TUE)</t>
  </si>
  <si>
    <t>Leadership</t>
  </si>
  <si>
    <t>AVG (Week)</t>
  </si>
  <si>
    <t>Enterprise Organization</t>
  </si>
  <si>
    <t>Mathematics</t>
  </si>
  <si>
    <t>Economics</t>
  </si>
  <si>
    <r>
      <t>Time Tracking</t>
    </r>
    <r>
      <rPr>
        <sz val="12"/>
        <rFont val="Calibri"/>
        <family val="2"/>
      </rPr>
      <t>®</t>
    </r>
  </si>
  <si>
    <r>
      <rPr>
        <sz val="12"/>
        <rFont val="Calibri"/>
        <family val="2"/>
      </rPr>
      <t>∑</t>
    </r>
    <r>
      <rPr>
        <sz val="12"/>
        <rFont val="Arial"/>
        <family val="2"/>
      </rPr>
      <t>(h)</t>
    </r>
  </si>
  <si>
    <t>Start and end dates or given here as examples. Fill your tables with the hours you want.</t>
  </si>
  <si>
    <t>Rating Excel Training</t>
  </si>
  <si>
    <t>Material</t>
  </si>
  <si>
    <t>Trainer Skills</t>
  </si>
  <si>
    <t>Presentation</t>
  </si>
  <si>
    <t>Demo</t>
  </si>
  <si>
    <t>Exercises</t>
  </si>
  <si>
    <t>Quiz</t>
  </si>
  <si>
    <t>Communication</t>
  </si>
  <si>
    <t>Availability</t>
  </si>
  <si>
    <t>Answer questions</t>
  </si>
  <si>
    <t>Elisabeth Eisenkeil</t>
  </si>
  <si>
    <t>Rating Table</t>
  </si>
  <si>
    <t>Betty Ganz</t>
  </si>
  <si>
    <t>Excellent</t>
  </si>
  <si>
    <t>Malueranu Ganka</t>
  </si>
  <si>
    <t>Good</t>
  </si>
  <si>
    <t>Olga Gavrilov</t>
  </si>
  <si>
    <t>Neutral</t>
  </si>
  <si>
    <t>Sandra Greber</t>
  </si>
  <si>
    <t>Poor</t>
  </si>
  <si>
    <t>Angelo Guerrero</t>
  </si>
  <si>
    <t>Very Poor</t>
  </si>
  <si>
    <t>Luis Guerrazi</t>
  </si>
  <si>
    <t>Paula Guest</t>
  </si>
  <si>
    <t>Alexandre Hislaire</t>
  </si>
  <si>
    <t>Henriette Hintermann</t>
  </si>
  <si>
    <t>Renée Mutschlechner</t>
  </si>
  <si>
    <t>Francis Pasche</t>
  </si>
  <si>
    <t>Pierre Paoli</t>
  </si>
  <si>
    <t>Marcelle Perrin</t>
  </si>
  <si>
    <t>Vedrana Petrovic</t>
  </si>
  <si>
    <t>Jana Pletikoca</t>
  </si>
  <si>
    <t>Anna Popescu</t>
  </si>
  <si>
    <t>Vittorio Romano</t>
  </si>
  <si>
    <t>Alban Sauty</t>
  </si>
  <si>
    <t>Yen Lee</t>
  </si>
  <si>
    <t>Average :</t>
  </si>
  <si>
    <t>Rounded Average :</t>
  </si>
  <si>
    <t xml:space="preserve">Examples : </t>
  </si>
  <si>
    <t>dataset</t>
  </si>
  <si>
    <t>=3*I$18</t>
  </si>
  <si>
    <t>abs. Row</t>
  </si>
  <si>
    <t>Data</t>
  </si>
  <si>
    <t>=3*$H16</t>
  </si>
  <si>
    <t>=3*$H$14</t>
  </si>
  <si>
    <t>SUM(C13:C16,C14:D14,C13:D13)</t>
  </si>
  <si>
    <t>=3*$H15</t>
  </si>
  <si>
    <t>SUM(C13:C16 C14:D14)</t>
  </si>
  <si>
    <t>=3*$H14</t>
  </si>
  <si>
    <t>SUM(C13:C16,C14:D14)</t>
  </si>
  <si>
    <t>absolute col.</t>
  </si>
  <si>
    <t>all absolute</t>
  </si>
  <si>
    <t>SUM(C13:C16)</t>
  </si>
  <si>
    <t xml:space="preserve">When you drag the first cell </t>
  </si>
  <si>
    <t xml:space="preserve">formula </t>
  </si>
  <si>
    <t>for absolute column AND absolute row</t>
  </si>
  <si>
    <t>$A$1</t>
  </si>
  <si>
    <t>for absolute column but relative row</t>
  </si>
  <si>
    <t>$A1</t>
  </si>
  <si>
    <t>for relative column but absolute row</t>
  </si>
  <si>
    <t>A$1</t>
  </si>
  <si>
    <t>Allows to maintain a reference during a formula copy.</t>
  </si>
  <si>
    <t xml:space="preserve">Absolute references </t>
  </si>
  <si>
    <t>Reference</t>
  </si>
  <si>
    <r>
      <t xml:space="preserve">Rounded Sales </t>
    </r>
    <r>
      <rPr>
        <b/>
        <sz val="12"/>
        <color theme="1"/>
        <rFont val="Calibri"/>
        <family val="2"/>
      </rPr>
      <t>¥</t>
    </r>
    <r>
      <rPr>
        <b/>
        <sz val="12"/>
        <color theme="1"/>
        <rFont val="Arial"/>
        <family val="2"/>
      </rPr>
      <t xml:space="preserve"> </t>
    </r>
  </si>
  <si>
    <r>
      <t xml:space="preserve">Rounded Commission </t>
    </r>
    <r>
      <rPr>
        <b/>
        <sz val="12"/>
        <color theme="1"/>
        <rFont val="Calibri"/>
        <family val="2"/>
      </rPr>
      <t>¥</t>
    </r>
  </si>
  <si>
    <t>Rounded Commission (Yen)</t>
  </si>
  <si>
    <t xml:space="preserve">Rounded Sales (Yen) </t>
  </si>
  <si>
    <t>Maria Terser</t>
  </si>
  <si>
    <t>Phil Gonhib</t>
  </si>
  <si>
    <t>Charlie Bop</t>
  </si>
  <si>
    <t>Number of students who answered the survey  :</t>
  </si>
  <si>
    <t>x</t>
  </si>
  <si>
    <t>Maria, Phil and Charlie did not answer the survey. Their rows must stay empty.</t>
  </si>
  <si>
    <t>has commission ?</t>
  </si>
  <si>
    <t>has commission?</t>
  </si>
  <si>
    <t>Geneve</t>
  </si>
  <si>
    <t>Lausanne</t>
  </si>
  <si>
    <t>Bern</t>
  </si>
  <si>
    <t>Zurich</t>
  </si>
  <si>
    <t>CITIES</t>
  </si>
  <si>
    <t xml:space="preserve">Has commission possible values : </t>
  </si>
  <si>
    <t>=COUNT(B:B)</t>
  </si>
  <si>
    <t>=COUNT(1;2;3)</t>
  </si>
  <si>
    <t>Exercise 4</t>
  </si>
  <si>
    <t>To create a Drop down menu you must define a data range and use it as data validation.</t>
  </si>
  <si>
    <t xml:space="preserve">Data range : </t>
  </si>
  <si>
    <t>red</t>
  </si>
  <si>
    <t>yellow</t>
  </si>
  <si>
    <t>green</t>
  </si>
  <si>
    <t>orange</t>
  </si>
  <si>
    <t>blue</t>
  </si>
  <si>
    <t>white</t>
  </si>
  <si>
    <t>My favourite colour is  :</t>
  </si>
  <si>
    <r>
      <t xml:space="preserve">Select the cell where the drop down menu must be, go to the data validation menu, choose validation by </t>
    </r>
    <r>
      <rPr>
        <b/>
        <sz val="14"/>
        <color theme="1"/>
        <rFont val="Calibri"/>
        <family val="2"/>
        <scheme val="minor"/>
      </rPr>
      <t>list</t>
    </r>
    <r>
      <rPr>
        <sz val="14"/>
        <color theme="1"/>
        <rFont val="Calibri"/>
        <family val="2"/>
        <scheme val="minor"/>
      </rPr>
      <t>, and define the source (here : $C$6:$C$11)</t>
    </r>
  </si>
  <si>
    <t xml:space="preserve">Data validation by list : </t>
  </si>
  <si>
    <t>Data validation range of values :</t>
  </si>
  <si>
    <t xml:space="preserve">This cell must contain a number between 0 and 3 with no decimal : </t>
  </si>
  <si>
    <t>=PRODUCT(A4;2;3)</t>
  </si>
  <si>
    <t>=PRODUCT(A4:A6)</t>
  </si>
  <si>
    <t>=PRODUCT(A4:A6;6)</t>
  </si>
  <si>
    <t>Generating random values:</t>
  </si>
  <si>
    <t>RAND() and RANDBETWEEN() are formulas that allow to generate automatically a random value in a cell each time any cell of the spreadsheet is modified.</t>
  </si>
  <si>
    <t>RAND():</t>
  </si>
  <si>
    <r>
      <t xml:space="preserve">Rand() generates a random </t>
    </r>
    <r>
      <rPr>
        <u/>
        <sz val="12"/>
        <color theme="1"/>
        <rFont val="Calibri"/>
        <family val="2"/>
        <scheme val="minor"/>
      </rPr>
      <t>decimal value</t>
    </r>
    <r>
      <rPr>
        <sz val="12"/>
        <color theme="1"/>
        <rFont val="Calibri"/>
        <family val="2"/>
        <scheme val="minor"/>
      </rPr>
      <t xml:space="preserve"> between 0 and 1. For instance: 0.2546; 0.254865155; 0.9952146 …</t>
    </r>
  </si>
  <si>
    <t>To test it, double click on any cell on this page and press ENTER to update the result in the 3 blue cells below:</t>
  </si>
  <si>
    <t>RANDBETWEEN(bottom;top):</t>
  </si>
  <si>
    <t>Randbetween() generates a random integer value between a lower and an upper boundaries that you need to provide as parameters</t>
  </si>
  <si>
    <t>lower boundary</t>
  </si>
  <si>
    <t>upper boundary</t>
  </si>
  <si>
    <t>RANDBETWEEN + RAND:</t>
  </si>
  <si>
    <t xml:space="preserve">If you sum the result of each formula, you can generate automatically a random decimal value within a given range of possible values. </t>
  </si>
  <si>
    <r>
      <t xml:space="preserve">For instance, the generate any decimal value between 1 and </t>
    </r>
    <r>
      <rPr>
        <b/>
        <sz val="12"/>
        <color rgb="FFFF0000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, one needs to sum RANDBETWEEN(1;</t>
    </r>
    <r>
      <rPr>
        <b/>
        <sz val="12"/>
        <color rgb="FFFF0000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) and RAND()</t>
    </r>
  </si>
  <si>
    <r>
      <t xml:space="preserve">&lt;= because we add rand() to the upper boundary, the actul range of possible values is 1.0 to </t>
    </r>
    <r>
      <rPr>
        <b/>
        <sz val="12"/>
        <color rgb="FFFF0000"/>
        <rFont val="Calibri"/>
        <family val="2"/>
        <scheme val="minor"/>
      </rPr>
      <t>6.</t>
    </r>
    <r>
      <rPr>
        <b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 in this example.</t>
    </r>
  </si>
  <si>
    <t>Rand</t>
  </si>
  <si>
    <t>Randbetween</t>
  </si>
  <si>
    <t>=PRODUCT(A4:A6;A10:A12)</t>
  </si>
  <si>
    <t>=3*J$18</t>
  </si>
  <si>
    <t>=3*K$18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</si>
</sst>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€&quot;* #,##0.00_-;\-&quot;€&quot;* #,##0.00_-;_-&quot;€&quot;* &quot;-&quot;??_-;_-@_-"/>
    <numFmt numFmtId="165" formatCode="_-* #,##0.00\ _f_r_._-;\-* #,##0.00\ _f_r_._-;_-* &quot;-&quot;??\ _f_r_._-;_-@_-"/>
    <numFmt numFmtId="166" formatCode="#,##0.00&quot; CHF&quot;"/>
    <numFmt numFmtId="167" formatCode="_-* #,##0.00\ [$CHF-100C]_-;\-* #,##0.00\ [$CHF-100C]_-;_-* &quot;-&quot;??\ [$CHF-100C]_-;_-@_-"/>
    <numFmt numFmtId="168" formatCode="_-* #,##0.00\ [$CHF-100C]_-;\-* #,##0.00\ [$CHF-100C]_-;_-* &quot;-&quot;\ [$CHF-100C]_-;_-@_-"/>
    <numFmt numFmtId="169" formatCode="#,##0.00&quot; €&quot;"/>
    <numFmt numFmtId="170" formatCode="_ [$¥-804]* #,##0.00_ ;_ [$¥-804]* \-#,##0.00_ ;_ [$¥-804]* &quot;-&quot;??_ ;_ @_ "/>
    <numFmt numFmtId="171" formatCode="[$-409]h:mm\ AM/PM;@"/>
    <numFmt numFmtId="172" formatCode="h:mm;@"/>
    <numFmt numFmtId="173" formatCode="0.0"/>
    <numFmt numFmtId="174" formatCode="_ [$¥-804]* #,##0.000_ ;_ [$¥-804]* \-#,##0.000_ ;_ [$¥-804]* &quot;-&quot;??_ ;_ @_ 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Comic Sans MS"/>
      <family val="4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vertAlign val="superscript"/>
      <sz val="12"/>
      <name val="Arial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name val="Arial"/>
      <family val="2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1"/>
    <xf numFmtId="0" fontId="2" fillId="0" borderId="0" xfId="2"/>
    <xf numFmtId="0" fontId="3" fillId="0" borderId="0" xfId="0" applyFont="1"/>
    <xf numFmtId="0" fontId="0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4" applyFont="1"/>
    <xf numFmtId="0" fontId="7" fillId="0" borderId="0" xfId="4" applyFont="1" applyFill="1" applyBorder="1"/>
    <xf numFmtId="0" fontId="8" fillId="0" borderId="0" xfId="4" applyFont="1" applyFill="1"/>
    <xf numFmtId="0" fontId="8" fillId="0" borderId="0" xfId="4" applyFont="1" applyFill="1" applyBorder="1"/>
    <xf numFmtId="0" fontId="9" fillId="0" borderId="1" xfId="4" applyFont="1" applyFill="1" applyBorder="1" applyAlignment="1">
      <alignment horizontal="right"/>
    </xf>
    <xf numFmtId="4" fontId="8" fillId="0" borderId="0" xfId="5" applyNumberFormat="1" applyFont="1" applyFill="1" applyBorder="1"/>
    <xf numFmtId="4" fontId="8" fillId="0" borderId="0" xfId="4" applyNumberFormat="1" applyFont="1" applyFill="1" applyBorder="1"/>
    <xf numFmtId="166" fontId="8" fillId="0" borderId="1" xfId="4" applyNumberFormat="1" applyFont="1" applyFill="1" applyBorder="1"/>
    <xf numFmtId="0" fontId="9" fillId="0" borderId="1" xfId="4" applyFont="1" applyFill="1" applyBorder="1" applyAlignment="1">
      <alignment horizontal="center"/>
    </xf>
    <xf numFmtId="0" fontId="9" fillId="0" borderId="0" xfId="4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center" vertical="center"/>
    </xf>
    <xf numFmtId="0" fontId="7" fillId="0" borderId="0" xfId="4" applyFont="1" applyBorder="1"/>
    <xf numFmtId="0" fontId="9" fillId="0" borderId="0" xfId="4" applyFont="1" applyFill="1" applyBorder="1" applyAlignment="1">
      <alignment horizontal="right"/>
    </xf>
    <xf numFmtId="0" fontId="7" fillId="0" borderId="11" xfId="4" applyFont="1" applyBorder="1"/>
    <xf numFmtId="0" fontId="7" fillId="0" borderId="1" xfId="0" applyFont="1" applyBorder="1"/>
    <xf numFmtId="3" fontId="7" fillId="0" borderId="0" xfId="4" applyNumberFormat="1" applyFont="1"/>
    <xf numFmtId="3" fontId="8" fillId="0" borderId="0" xfId="4" applyNumberFormat="1" applyFont="1" applyFill="1"/>
    <xf numFmtId="3" fontId="8" fillId="0" borderId="0" xfId="0" applyNumberFormat="1" applyFont="1" applyFill="1" applyBorder="1"/>
    <xf numFmtId="0" fontId="7" fillId="0" borderId="0" xfId="4" applyNumberFormat="1" applyFont="1" applyBorder="1" applyAlignment="1">
      <alignment horizontal="left"/>
    </xf>
    <xf numFmtId="0" fontId="8" fillId="0" borderId="0" xfId="4" applyNumberFormat="1" applyFont="1" applyFill="1" applyBorder="1" applyAlignment="1">
      <alignment horizontal="left"/>
    </xf>
    <xf numFmtId="0" fontId="8" fillId="0" borderId="0" xfId="4" applyNumberFormat="1" applyFont="1" applyFill="1" applyBorder="1" applyAlignment="1">
      <alignment horizontal="left" vertical="center"/>
    </xf>
    <xf numFmtId="0" fontId="8" fillId="0" borderId="0" xfId="5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7" fillId="0" borderId="0" xfId="4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8" fillId="0" borderId="0" xfId="0" applyNumberFormat="1" applyFont="1" applyFill="1" applyBorder="1" applyAlignment="1">
      <alignment horizontal="left" vertical="center"/>
    </xf>
    <xf numFmtId="0" fontId="8" fillId="4" borderId="0" xfId="4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/>
    </xf>
    <xf numFmtId="0" fontId="13" fillId="4" borderId="0" xfId="0" applyNumberFormat="1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  <xf numFmtId="167" fontId="8" fillId="4" borderId="1" xfId="4" applyNumberFormat="1" applyFont="1" applyFill="1" applyBorder="1"/>
    <xf numFmtId="167" fontId="8" fillId="4" borderId="1" xfId="0" applyNumberFormat="1" applyFont="1" applyFill="1" applyBorder="1"/>
    <xf numFmtId="167" fontId="14" fillId="4" borderId="1" xfId="0" applyNumberFormat="1" applyFont="1" applyFill="1" applyBorder="1"/>
    <xf numFmtId="168" fontId="8" fillId="4" borderId="1" xfId="4" applyNumberFormat="1" applyFont="1" applyFill="1" applyBorder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0" xfId="0" applyNumberFormat="1" applyFont="1"/>
    <xf numFmtId="0" fontId="8" fillId="4" borderId="0" xfId="0" applyNumberFormat="1" applyFont="1" applyFill="1"/>
    <xf numFmtId="0" fontId="7" fillId="0" borderId="0" xfId="0" applyNumberFormat="1" applyFont="1"/>
    <xf numFmtId="0" fontId="7" fillId="4" borderId="0" xfId="0" applyNumberFormat="1" applyFont="1" applyFill="1"/>
    <xf numFmtId="0" fontId="7" fillId="4" borderId="0" xfId="0" applyFont="1" applyFill="1"/>
    <xf numFmtId="2" fontId="7" fillId="0" borderId="1" xfId="0" applyNumberFormat="1" applyFont="1" applyBorder="1" applyAlignment="1">
      <alignment horizontal="center"/>
    </xf>
    <xf numFmtId="9" fontId="7" fillId="0" borderId="1" xfId="3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169" fontId="7" fillId="0" borderId="0" xfId="0" applyNumberFormat="1" applyFont="1"/>
    <xf numFmtId="164" fontId="8" fillId="0" borderId="1" xfId="0" applyNumberFormat="1" applyFont="1" applyBorder="1"/>
    <xf numFmtId="164" fontId="7" fillId="0" borderId="1" xfId="0" applyNumberFormat="1" applyFont="1" applyBorder="1"/>
    <xf numFmtId="164" fontId="7" fillId="4" borderId="1" xfId="0" applyNumberFormat="1" applyFont="1" applyFill="1" applyBorder="1"/>
    <xf numFmtId="170" fontId="8" fillId="4" borderId="1" xfId="0" applyNumberFormat="1" applyFont="1" applyFill="1" applyBorder="1"/>
    <xf numFmtId="170" fontId="7" fillId="4" borderId="1" xfId="0" applyNumberFormat="1" applyFont="1" applyFill="1" applyBorder="1"/>
    <xf numFmtId="0" fontId="11" fillId="0" borderId="0" xfId="0" applyFont="1" applyAlignment="1"/>
    <xf numFmtId="0" fontId="11" fillId="0" borderId="0" xfId="0" applyFont="1"/>
    <xf numFmtId="0" fontId="7" fillId="0" borderId="0" xfId="0" applyFont="1" applyAlignment="1">
      <alignment horizontal="center"/>
    </xf>
    <xf numFmtId="0" fontId="11" fillId="0" borderId="5" xfId="0" applyFont="1" applyBorder="1" applyAlignment="1">
      <alignment horizontal="right"/>
    </xf>
    <xf numFmtId="0" fontId="7" fillId="0" borderId="0" xfId="0" applyNumberFormat="1" applyFont="1" applyBorder="1"/>
    <xf numFmtId="0" fontId="7" fillId="0" borderId="0" xfId="0" applyNumberFormat="1" applyFont="1" applyBorder="1" applyAlignment="1"/>
    <xf numFmtId="0" fontId="7" fillId="0" borderId="0" xfId="0" applyNumberFormat="1" applyFont="1" applyBorder="1" applyAlignment="1">
      <alignment horizontal="center"/>
    </xf>
    <xf numFmtId="0" fontId="18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right"/>
    </xf>
    <xf numFmtId="0" fontId="7" fillId="4" borderId="0" xfId="0" applyNumberFormat="1" applyFont="1" applyFill="1" applyBorder="1"/>
    <xf numFmtId="0" fontId="0" fillId="0" borderId="0" xfId="0" applyNumberFormat="1" applyFont="1" applyBorder="1"/>
    <xf numFmtId="171" fontId="7" fillId="0" borderId="1" xfId="0" applyNumberFormat="1" applyFont="1" applyBorder="1"/>
    <xf numFmtId="172" fontId="7" fillId="4" borderId="1" xfId="0" applyNumberFormat="1" applyFont="1" applyFill="1" applyBorder="1"/>
    <xf numFmtId="0" fontId="11" fillId="6" borderId="1" xfId="0" applyFont="1" applyFill="1" applyBorder="1" applyAlignment="1">
      <alignment horizontal="center" vertical="center" textRotation="90"/>
    </xf>
    <xf numFmtId="0" fontId="11" fillId="7" borderId="1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right"/>
    </xf>
    <xf numFmtId="0" fontId="21" fillId="0" borderId="1" xfId="0" applyFont="1" applyBorder="1"/>
    <xf numFmtId="0" fontId="4" fillId="8" borderId="1" xfId="0" applyFont="1" applyFill="1" applyBorder="1" applyAlignment="1">
      <alignment horizontal="center"/>
    </xf>
    <xf numFmtId="0" fontId="21" fillId="0" borderId="0" xfId="0" applyFont="1"/>
    <xf numFmtId="0" fontId="21" fillId="5" borderId="1" xfId="0" applyFont="1" applyFill="1" applyBorder="1" applyAlignment="1">
      <alignment horizontal="center"/>
    </xf>
    <xf numFmtId="0" fontId="21" fillId="0" borderId="0" xfId="0" applyFont="1" applyFill="1" applyBorder="1"/>
    <xf numFmtId="49" fontId="0" fillId="9" borderId="1" xfId="0" applyNumberFormat="1" applyFill="1" applyBorder="1"/>
    <xf numFmtId="0" fontId="4" fillId="9" borderId="1" xfId="0" applyFont="1" applyFill="1" applyBorder="1"/>
    <xf numFmtId="0" fontId="0" fillId="9" borderId="1" xfId="0" applyFill="1" applyBorder="1"/>
    <xf numFmtId="0" fontId="21" fillId="10" borderId="1" xfId="0" applyFont="1" applyFill="1" applyBorder="1"/>
    <xf numFmtId="0" fontId="4" fillId="10" borderId="1" xfId="0" applyFont="1" applyFill="1" applyBorder="1" applyAlignment="1">
      <alignment horizontal="center"/>
    </xf>
    <xf numFmtId="49" fontId="21" fillId="11" borderId="1" xfId="0" applyNumberFormat="1" applyFont="1" applyFill="1" applyBorder="1"/>
    <xf numFmtId="0" fontId="21" fillId="11" borderId="1" xfId="0" applyFont="1" applyFill="1" applyBorder="1"/>
    <xf numFmtId="49" fontId="21" fillId="5" borderId="1" xfId="0" applyNumberFormat="1" applyFont="1" applyFill="1" applyBorder="1"/>
    <xf numFmtId="0" fontId="21" fillId="5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1" fillId="0" borderId="0" xfId="1" applyFont="1"/>
    <xf numFmtId="0" fontId="4" fillId="0" borderId="5" xfId="1" applyFont="1" applyBorder="1"/>
    <xf numFmtId="0" fontId="4" fillId="0" borderId="9" xfId="1" applyFont="1" applyBorder="1"/>
    <xf numFmtId="0" fontId="4" fillId="0" borderId="8" xfId="1" applyFont="1" applyBorder="1"/>
    <xf numFmtId="0" fontId="4" fillId="0" borderId="2" xfId="1" applyFont="1" applyBorder="1"/>
    <xf numFmtId="0" fontId="4" fillId="0" borderId="1" xfId="1" applyFont="1" applyBorder="1"/>
    <xf numFmtId="0" fontId="21" fillId="0" borderId="5" xfId="1" applyFont="1" applyBorder="1"/>
    <xf numFmtId="0" fontId="21" fillId="0" borderId="7" xfId="1" applyFont="1" applyBorder="1"/>
    <xf numFmtId="0" fontId="21" fillId="0" borderId="6" xfId="1" applyFont="1" applyBorder="1"/>
    <xf numFmtId="0" fontId="21" fillId="0" borderId="2" xfId="1" applyFont="1" applyBorder="1"/>
    <xf numFmtId="0" fontId="21" fillId="0" borderId="1" xfId="1" applyFont="1" applyBorder="1"/>
    <xf numFmtId="0" fontId="4" fillId="0" borderId="7" xfId="1" applyFont="1" applyBorder="1"/>
    <xf numFmtId="0" fontId="4" fillId="0" borderId="6" xfId="1" applyFont="1" applyBorder="1"/>
    <xf numFmtId="0" fontId="21" fillId="0" borderId="4" xfId="1" applyFont="1" applyBorder="1"/>
    <xf numFmtId="0" fontId="21" fillId="0" borderId="3" xfId="1" applyFont="1" applyBorder="1"/>
    <xf numFmtId="49" fontId="4" fillId="0" borderId="0" xfId="1" applyNumberFormat="1" applyFont="1"/>
    <xf numFmtId="0" fontId="21" fillId="4" borderId="1" xfId="1" applyFont="1" applyFill="1" applyBorder="1"/>
    <xf numFmtId="0" fontId="4" fillId="0" borderId="1" xfId="1" applyFont="1" applyBorder="1" applyAlignment="1">
      <alignment horizontal="center"/>
    </xf>
    <xf numFmtId="0" fontId="21" fillId="3" borderId="1" xfId="1" applyFont="1" applyFill="1" applyBorder="1"/>
    <xf numFmtId="49" fontId="21" fillId="0" borderId="1" xfId="1" applyNumberFormat="1" applyFont="1" applyBorder="1"/>
    <xf numFmtId="0" fontId="21" fillId="0" borderId="1" xfId="1" applyNumberFormat="1" applyFont="1" applyBorder="1"/>
    <xf numFmtId="49" fontId="4" fillId="0" borderId="0" xfId="0" applyNumberFormat="1" applyFont="1" applyAlignment="1">
      <alignment horizontal="left"/>
    </xf>
    <xf numFmtId="0" fontId="0" fillId="5" borderId="1" xfId="0" applyFill="1" applyBorder="1" applyAlignment="1">
      <alignment horizontal="left"/>
    </xf>
    <xf numFmtId="0" fontId="11" fillId="0" borderId="0" xfId="0" applyFont="1" applyBorder="1" applyAlignment="1">
      <alignment horizontal="center"/>
    </xf>
    <xf numFmtId="9" fontId="7" fillId="0" borderId="0" xfId="3" applyFont="1" applyBorder="1" applyAlignment="1">
      <alignment horizontal="center"/>
    </xf>
    <xf numFmtId="0" fontId="11" fillId="0" borderId="0" xfId="0" applyFont="1" applyBorder="1"/>
    <xf numFmtId="0" fontId="7" fillId="0" borderId="0" xfId="0" applyFont="1" applyBorder="1"/>
    <xf numFmtId="0" fontId="7" fillId="4" borderId="1" xfId="0" applyFont="1" applyFill="1" applyBorder="1"/>
    <xf numFmtId="0" fontId="0" fillId="4" borderId="1" xfId="0" applyFill="1" applyBorder="1"/>
    <xf numFmtId="0" fontId="0" fillId="0" borderId="0" xfId="0" applyBorder="1"/>
    <xf numFmtId="0" fontId="19" fillId="0" borderId="0" xfId="0" applyFont="1" applyBorder="1"/>
    <xf numFmtId="0" fontId="24" fillId="0" borderId="0" xfId="0" applyFont="1"/>
    <xf numFmtId="0" fontId="7" fillId="0" borderId="0" xfId="0" applyFont="1" applyFill="1" applyBorder="1" applyAlignment="1">
      <alignment horizontal="left"/>
    </xf>
    <xf numFmtId="174" fontId="7" fillId="4" borderId="1" xfId="0" applyNumberFormat="1" applyFont="1" applyFill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1" fillId="4" borderId="1" xfId="0" applyFont="1" applyFill="1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quotePrefix="1"/>
    <xf numFmtId="0" fontId="27" fillId="0" borderId="1" xfId="0" applyFont="1" applyBorder="1"/>
    <xf numFmtId="0" fontId="4" fillId="2" borderId="0" xfId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7" fillId="0" borderId="0" xfId="4" applyNumberFormat="1" applyFont="1" applyBorder="1" applyAlignment="1">
      <alignment horizontal="left"/>
    </xf>
    <xf numFmtId="0" fontId="11" fillId="0" borderId="1" xfId="4" applyFont="1" applyBorder="1" applyAlignment="1">
      <alignment horizontal="center"/>
    </xf>
    <xf numFmtId="0" fontId="11" fillId="0" borderId="5" xfId="4" applyFont="1" applyBorder="1" applyAlignment="1">
      <alignment horizontal="center"/>
    </xf>
    <xf numFmtId="0" fontId="11" fillId="0" borderId="10" xfId="4" applyFont="1" applyBorder="1" applyAlignment="1">
      <alignment horizontal="center"/>
    </xf>
    <xf numFmtId="0" fontId="11" fillId="0" borderId="2" xfId="4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173" fontId="7" fillId="4" borderId="1" xfId="0" applyNumberFormat="1" applyFont="1" applyFill="1" applyBorder="1" applyAlignment="1">
      <alignment horizontal="center"/>
    </xf>
    <xf numFmtId="173" fontId="7" fillId="4" borderId="5" xfId="0" applyNumberFormat="1" applyFont="1" applyFill="1" applyBorder="1" applyAlignment="1">
      <alignment horizontal="center"/>
    </xf>
    <xf numFmtId="173" fontId="7" fillId="4" borderId="10" xfId="0" applyNumberFormat="1" applyFont="1" applyFill="1" applyBorder="1" applyAlignment="1">
      <alignment horizontal="center"/>
    </xf>
    <xf numFmtId="173" fontId="7" fillId="4" borderId="2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73" fontId="7" fillId="6" borderId="1" xfId="0" applyNumberFormat="1" applyFont="1" applyFill="1" applyBorder="1" applyAlignment="1">
      <alignment horizontal="center"/>
    </xf>
    <xf numFmtId="173" fontId="7" fillId="7" borderId="5" xfId="0" applyNumberFormat="1" applyFont="1" applyFill="1" applyBorder="1" applyAlignment="1">
      <alignment horizontal="center"/>
    </xf>
    <xf numFmtId="173" fontId="7" fillId="7" borderId="10" xfId="0" applyNumberFormat="1" applyFont="1" applyFill="1" applyBorder="1" applyAlignment="1">
      <alignment horizontal="center"/>
    </xf>
    <xf numFmtId="173" fontId="7" fillId="7" borderId="2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</cellXfs>
  <cellStyles count="6">
    <cellStyle name="Comma 2" xfId="5" xr:uid="{00000000-0005-0000-0000-000000000000}"/>
    <cellStyle name="Hyperlink" xfId="2" builtinId="8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800100</xdr:colOff>
      <xdr:row>2</xdr:row>
      <xdr:rowOff>0</xdr:rowOff>
    </xdr:from>
    <xdr:ext cx="5715000" cy="1222785"/>
    <xdr:pic>
      <xdr:nvPicPr>
        <xdr:cNvPr id="2" name="Picture 1">
          <a:extLst>
            <a:ext uri="{FF2B5EF4-FFF2-40B4-BE49-F238E27FC236}">
              <a16:creationId xmlns:a16="http://schemas.microsoft.com/office/drawing/2014/main" id="{85F93E5F-2DBE-CC4F-92BA-CED9397B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06400"/>
          <a:ext cx="5715000" cy="12227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30</xdr:row>
      <xdr:rowOff>12700</xdr:rowOff>
    </xdr:from>
    <xdr:to>
      <xdr:col>14</xdr:col>
      <xdr:colOff>483883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1F9F8D-E0AA-E142-9D3A-A19F3CFC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2701" y="6642100"/>
          <a:ext cx="4611382" cy="3619500"/>
        </a:xfrm>
        <a:prstGeom prst="rect">
          <a:avLst/>
        </a:prstGeom>
      </xdr:spPr>
    </xdr:pic>
    <xdr:clientData/>
  </xdr:twoCellAnchor>
  <xdr:twoCellAnchor editAs="oneCell">
    <xdr:from>
      <xdr:col>8</xdr:col>
      <xdr:colOff>817958</xdr:colOff>
      <xdr:row>6</xdr:row>
      <xdr:rowOff>228600</xdr:rowOff>
    </xdr:from>
    <xdr:to>
      <xdr:col>14</xdr:col>
      <xdr:colOff>469899</xdr:colOff>
      <xdr:row>23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3A6114-45D1-EA4E-BD94-840F9AED9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5158" y="1638300"/>
          <a:ext cx="4604941" cy="359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C19"/>
  <sheetViews>
    <sheetView showGridLines="0" workbookViewId="0">
      <selection activeCell="B10" sqref="B10"/>
    </sheetView>
  </sheetViews>
  <sheetFormatPr defaultColWidth="11.140625" defaultRowHeight="15.9" x14ac:dyDescent="0.45"/>
  <sheetData>
    <row r="3" spans="1:3" ht="23.15" x14ac:dyDescent="0.6">
      <c r="A3" s="3" t="s">
        <v>9</v>
      </c>
    </row>
    <row r="5" spans="1:3" ht="18.45" x14ac:dyDescent="0.5">
      <c r="A5" s="5" t="s">
        <v>16</v>
      </c>
    </row>
    <row r="6" spans="1:3" s="4" customFormat="1" x14ac:dyDescent="0.45">
      <c r="A6" s="4" t="s">
        <v>14</v>
      </c>
    </row>
    <row r="7" spans="1:3" s="4" customFormat="1" x14ac:dyDescent="0.45">
      <c r="A7" s="6" t="s">
        <v>15</v>
      </c>
    </row>
    <row r="8" spans="1:3" s="4" customFormat="1" x14ac:dyDescent="0.45">
      <c r="B8" s="2" t="s">
        <v>18</v>
      </c>
      <c r="C8" s="2" t="s">
        <v>242</v>
      </c>
    </row>
    <row r="9" spans="1:3" x14ac:dyDescent="0.45">
      <c r="B9" s="2" t="s">
        <v>12</v>
      </c>
      <c r="C9" s="2" t="s">
        <v>243</v>
      </c>
    </row>
    <row r="10" spans="1:3" x14ac:dyDescent="0.45">
      <c r="B10" s="2" t="s">
        <v>13</v>
      </c>
    </row>
    <row r="11" spans="1:3" x14ac:dyDescent="0.45">
      <c r="B11" s="2" t="s">
        <v>11</v>
      </c>
    </row>
    <row r="12" spans="1:3" x14ac:dyDescent="0.45">
      <c r="B12" s="2" t="s">
        <v>10</v>
      </c>
    </row>
    <row r="13" spans="1:3" x14ac:dyDescent="0.45">
      <c r="B13" s="2" t="s">
        <v>191</v>
      </c>
    </row>
    <row r="15" spans="1:3" ht="18.45" x14ac:dyDescent="0.5">
      <c r="A15" s="5" t="s">
        <v>17</v>
      </c>
    </row>
    <row r="16" spans="1:3" x14ac:dyDescent="0.45">
      <c r="B16" s="2" t="s">
        <v>77</v>
      </c>
      <c r="C16" s="2" t="s">
        <v>75</v>
      </c>
    </row>
    <row r="17" spans="2:3" x14ac:dyDescent="0.45">
      <c r="B17" s="2" t="s">
        <v>76</v>
      </c>
      <c r="C17" s="2" t="s">
        <v>75</v>
      </c>
    </row>
    <row r="18" spans="2:3" x14ac:dyDescent="0.45">
      <c r="B18" s="2" t="s">
        <v>78</v>
      </c>
      <c r="C18" s="2" t="s">
        <v>75</v>
      </c>
    </row>
    <row r="19" spans="2:3" x14ac:dyDescent="0.45">
      <c r="B19" s="2" t="s">
        <v>212</v>
      </c>
      <c r="C19" s="2" t="s">
        <v>75</v>
      </c>
    </row>
  </sheetData>
  <hyperlinks>
    <hyperlink ref="B12" location="rounding!A1" display="Rounding " xr:uid="{00000000-0004-0000-0000-000000000000}"/>
    <hyperlink ref="B11" location="Average!A1" display="Average" xr:uid="{00000000-0004-0000-0000-000001000000}"/>
    <hyperlink ref="B9" location="Sum!A1" display="Sum" xr:uid="{00000000-0004-0000-0000-000002000000}"/>
    <hyperlink ref="B10" location="Product!A1" display="Product" xr:uid="{00000000-0004-0000-0000-000003000000}"/>
    <hyperlink ref="B8" location="Count!A1" display="Count" xr:uid="{00000000-0004-0000-0000-000004000000}"/>
    <hyperlink ref="B16" location="Exercise1!A1" display="Exercise 1" xr:uid="{00000000-0004-0000-0000-000005000000}"/>
    <hyperlink ref="C16" location="'Exercise1-Solution'!A1" display="the solution" xr:uid="{00000000-0004-0000-0000-000006000000}"/>
    <hyperlink ref="B17" location="Exercise2!A1" display="Exercise 2 " xr:uid="{00000000-0004-0000-0000-000007000000}"/>
    <hyperlink ref="C17" location="'Exercise2-Solution'!A1" display="the solution" xr:uid="{00000000-0004-0000-0000-000008000000}"/>
    <hyperlink ref="B18" location="Exercise3!A1" display="Exercise 3" xr:uid="{00000000-0004-0000-0000-000009000000}"/>
    <hyperlink ref="C18" location="'Exercise3-Solution'!A1" display="the solution" xr:uid="{00000000-0004-0000-0000-00000A000000}"/>
    <hyperlink ref="B13" location="Reference!A1" display="Reference" xr:uid="{00000000-0004-0000-0000-00000B000000}"/>
    <hyperlink ref="B19" location="Exercice4!A1" display="Exercise 4" xr:uid="{00000000-0004-0000-0000-00000C000000}"/>
    <hyperlink ref="C19" location="'Exercice4-Solution'!A1" display="the solution" xr:uid="{00000000-0004-0000-0000-00000D000000}"/>
    <hyperlink ref="C8" location="Random!A1" display="Rand" xr:uid="{00000000-0004-0000-0000-00000E000000}"/>
    <hyperlink ref="C9" location="Random!A1" display="Randbetween" xr:uid="{00000000-0004-0000-0000-00000F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2:F55"/>
  <sheetViews>
    <sheetView workbookViewId="0">
      <selection activeCell="E11" sqref="E11"/>
    </sheetView>
  </sheetViews>
  <sheetFormatPr defaultColWidth="11.140625" defaultRowHeight="15.9" x14ac:dyDescent="0.45"/>
  <cols>
    <col min="2" max="2" width="33.85546875" style="7" customWidth="1"/>
    <col min="5" max="5" width="20.35546875" customWidth="1"/>
  </cols>
  <sheetData>
    <row r="2" spans="1:6" ht="18.45" x14ac:dyDescent="0.5">
      <c r="B2" s="127" t="s">
        <v>21</v>
      </c>
    </row>
    <row r="3" spans="1:6" ht="18.45" x14ac:dyDescent="0.5">
      <c r="D3" s="92"/>
      <c r="E3" s="92"/>
      <c r="F3" s="92"/>
    </row>
    <row r="4" spans="1:6" ht="18.45" x14ac:dyDescent="0.5">
      <c r="A4" t="s">
        <v>20</v>
      </c>
      <c r="B4" s="128" t="s">
        <v>22</v>
      </c>
      <c r="D4" s="92"/>
      <c r="E4" s="92"/>
      <c r="F4" s="92"/>
    </row>
    <row r="5" spans="1:6" ht="18.45" x14ac:dyDescent="0.5">
      <c r="B5" s="128">
        <v>22</v>
      </c>
      <c r="D5" s="92"/>
      <c r="E5" s="123" t="s">
        <v>8</v>
      </c>
      <c r="F5" s="123" t="s">
        <v>0</v>
      </c>
    </row>
    <row r="6" spans="1:6" ht="18.45" x14ac:dyDescent="0.5">
      <c r="B6" s="128" t="s">
        <v>23</v>
      </c>
      <c r="D6" s="92"/>
      <c r="E6" s="125" t="s">
        <v>211</v>
      </c>
      <c r="F6" s="116">
        <v>3</v>
      </c>
    </row>
    <row r="7" spans="1:6" ht="18.45" x14ac:dyDescent="0.5">
      <c r="B7" s="128">
        <v>2</v>
      </c>
      <c r="D7" s="92"/>
      <c r="E7" s="125" t="s">
        <v>210</v>
      </c>
      <c r="F7" s="126">
        <f>COUNT(B4:B55)</f>
        <v>17</v>
      </c>
    </row>
    <row r="8" spans="1:6" ht="18.45" x14ac:dyDescent="0.5">
      <c r="B8" s="128" t="s">
        <v>24</v>
      </c>
      <c r="D8" s="92"/>
      <c r="E8" s="92"/>
      <c r="F8" s="92"/>
    </row>
    <row r="9" spans="1:6" ht="18.45" x14ac:dyDescent="0.5">
      <c r="B9" s="128" t="s">
        <v>25</v>
      </c>
      <c r="D9" s="92"/>
      <c r="E9" s="92"/>
      <c r="F9" s="92"/>
    </row>
    <row r="10" spans="1:6" ht="18.45" x14ac:dyDescent="0.5">
      <c r="B10" s="128" t="s">
        <v>26</v>
      </c>
      <c r="D10" s="92"/>
      <c r="E10" s="92"/>
      <c r="F10" s="92"/>
    </row>
    <row r="11" spans="1:6" x14ac:dyDescent="0.45">
      <c r="B11" s="128" t="s">
        <v>27</v>
      </c>
    </row>
    <row r="12" spans="1:6" x14ac:dyDescent="0.45">
      <c r="B12" s="128">
        <v>56</v>
      </c>
    </row>
    <row r="13" spans="1:6" x14ac:dyDescent="0.45">
      <c r="B13" s="128" t="s">
        <v>28</v>
      </c>
    </row>
    <row r="14" spans="1:6" x14ac:dyDescent="0.45">
      <c r="B14" s="128">
        <v>34</v>
      </c>
    </row>
    <row r="15" spans="1:6" x14ac:dyDescent="0.45">
      <c r="B15" s="128" t="s">
        <v>29</v>
      </c>
    </row>
    <row r="16" spans="1:6" x14ac:dyDescent="0.45">
      <c r="B16" s="128" t="s">
        <v>30</v>
      </c>
    </row>
    <row r="17" spans="2:2" x14ac:dyDescent="0.45">
      <c r="B17" s="128" t="s">
        <v>31</v>
      </c>
    </row>
    <row r="18" spans="2:2" x14ac:dyDescent="0.45">
      <c r="B18" s="128" t="s">
        <v>32</v>
      </c>
    </row>
    <row r="19" spans="2:2" x14ac:dyDescent="0.45">
      <c r="B19" s="128">
        <v>45</v>
      </c>
    </row>
    <row r="20" spans="2:2" x14ac:dyDescent="0.45">
      <c r="B20" s="128" t="s">
        <v>33</v>
      </c>
    </row>
    <row r="21" spans="2:2" x14ac:dyDescent="0.45">
      <c r="B21" s="128">
        <v>3</v>
      </c>
    </row>
    <row r="22" spans="2:2" x14ac:dyDescent="0.45">
      <c r="B22" s="128" t="s">
        <v>34</v>
      </c>
    </row>
    <row r="23" spans="2:2" x14ac:dyDescent="0.45">
      <c r="B23" s="128">
        <v>55</v>
      </c>
    </row>
    <row r="24" spans="2:2" x14ac:dyDescent="0.45">
      <c r="B24" s="128" t="s">
        <v>35</v>
      </c>
    </row>
    <row r="25" spans="2:2" x14ac:dyDescent="0.45">
      <c r="B25" s="128" t="s">
        <v>36</v>
      </c>
    </row>
    <row r="26" spans="2:2" x14ac:dyDescent="0.45">
      <c r="B26" s="128">
        <v>4</v>
      </c>
    </row>
    <row r="27" spans="2:2" x14ac:dyDescent="0.45">
      <c r="B27" s="128" t="s">
        <v>37</v>
      </c>
    </row>
    <row r="28" spans="2:2" x14ac:dyDescent="0.45">
      <c r="B28" s="128" t="s">
        <v>38</v>
      </c>
    </row>
    <row r="29" spans="2:2" x14ac:dyDescent="0.45">
      <c r="B29" s="128">
        <v>56</v>
      </c>
    </row>
    <row r="30" spans="2:2" x14ac:dyDescent="0.45">
      <c r="B30" s="128" t="s">
        <v>39</v>
      </c>
    </row>
    <row r="31" spans="2:2" x14ac:dyDescent="0.45">
      <c r="B31" s="128" t="s">
        <v>40</v>
      </c>
    </row>
    <row r="32" spans="2:2" x14ac:dyDescent="0.45">
      <c r="B32" s="128" t="s">
        <v>41</v>
      </c>
    </row>
    <row r="33" spans="2:2" x14ac:dyDescent="0.45">
      <c r="B33" s="128">
        <v>89</v>
      </c>
    </row>
    <row r="34" spans="2:2" x14ac:dyDescent="0.45">
      <c r="B34" s="128" t="s">
        <v>42</v>
      </c>
    </row>
    <row r="35" spans="2:2" x14ac:dyDescent="0.45">
      <c r="B35" s="128" t="s">
        <v>43</v>
      </c>
    </row>
    <row r="36" spans="2:2" x14ac:dyDescent="0.45">
      <c r="B36" s="128" t="s">
        <v>44</v>
      </c>
    </row>
    <row r="37" spans="2:2" x14ac:dyDescent="0.45">
      <c r="B37" s="128">
        <v>67</v>
      </c>
    </row>
    <row r="38" spans="2:2" x14ac:dyDescent="0.45">
      <c r="B38" s="128" t="s">
        <v>45</v>
      </c>
    </row>
    <row r="39" spans="2:2" x14ac:dyDescent="0.45">
      <c r="B39" s="128" t="s">
        <v>46</v>
      </c>
    </row>
    <row r="40" spans="2:2" x14ac:dyDescent="0.45">
      <c r="B40" s="128" t="s">
        <v>47</v>
      </c>
    </row>
    <row r="41" spans="2:2" x14ac:dyDescent="0.45">
      <c r="B41" s="128" t="s">
        <v>48</v>
      </c>
    </row>
    <row r="42" spans="2:2" x14ac:dyDescent="0.45">
      <c r="B42" s="128">
        <v>38</v>
      </c>
    </row>
    <row r="43" spans="2:2" x14ac:dyDescent="0.45">
      <c r="B43" s="128" t="s">
        <v>49</v>
      </c>
    </row>
    <row r="44" spans="2:2" x14ac:dyDescent="0.45">
      <c r="B44" s="128">
        <v>7</v>
      </c>
    </row>
    <row r="45" spans="2:2" x14ac:dyDescent="0.45">
      <c r="B45" s="128" t="s">
        <v>50</v>
      </c>
    </row>
    <row r="46" spans="2:2" x14ac:dyDescent="0.45">
      <c r="B46" s="128" t="s">
        <v>51</v>
      </c>
    </row>
    <row r="47" spans="2:2" x14ac:dyDescent="0.45">
      <c r="B47" s="128" t="s">
        <v>52</v>
      </c>
    </row>
    <row r="48" spans="2:2" x14ac:dyDescent="0.45">
      <c r="B48" s="128">
        <v>40</v>
      </c>
    </row>
    <row r="49" spans="2:2" x14ac:dyDescent="0.45">
      <c r="B49" s="128" t="s">
        <v>53</v>
      </c>
    </row>
    <row r="50" spans="2:2" x14ac:dyDescent="0.45">
      <c r="B50" s="128">
        <v>4</v>
      </c>
    </row>
    <row r="51" spans="2:2" x14ac:dyDescent="0.45">
      <c r="B51" s="128" t="s">
        <v>54</v>
      </c>
    </row>
    <row r="52" spans="2:2" x14ac:dyDescent="0.45">
      <c r="B52" s="128" t="s">
        <v>55</v>
      </c>
    </row>
    <row r="53" spans="2:2" x14ac:dyDescent="0.45">
      <c r="B53" s="128" t="s">
        <v>56</v>
      </c>
    </row>
    <row r="54" spans="2:2" x14ac:dyDescent="0.45">
      <c r="B54" s="128">
        <v>23</v>
      </c>
    </row>
    <row r="55" spans="2:2" x14ac:dyDescent="0.45">
      <c r="B55" s="128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E18"/>
  <sheetViews>
    <sheetView showFormulas="1" zoomScaleNormal="100" workbookViewId="0">
      <selection activeCell="C15" sqref="C15"/>
    </sheetView>
  </sheetViews>
  <sheetFormatPr defaultColWidth="8.85546875" defaultRowHeight="14.6" x14ac:dyDescent="0.4"/>
  <cols>
    <col min="1" max="1" width="4.5" style="1" customWidth="1"/>
    <col min="2" max="2" width="4.140625" style="1" customWidth="1"/>
    <col min="3" max="3" width="11.5" style="1" bestFit="1" customWidth="1"/>
    <col min="4" max="4" width="2.85546875" style="1" bestFit="1" customWidth="1"/>
    <col min="5" max="16384" width="8.85546875" style="1"/>
  </cols>
  <sheetData>
    <row r="1" spans="1:5" ht="18.45" x14ac:dyDescent="0.5">
      <c r="A1" s="106"/>
      <c r="B1" s="106"/>
      <c r="C1" s="106"/>
      <c r="D1" s="106"/>
      <c r="E1" s="106"/>
    </row>
    <row r="2" spans="1:5" ht="18.45" x14ac:dyDescent="0.5">
      <c r="A2" s="121" t="s">
        <v>19</v>
      </c>
      <c r="B2" s="106"/>
      <c r="C2" s="106"/>
      <c r="D2" s="106"/>
      <c r="E2" s="106"/>
    </row>
    <row r="3" spans="1:5" ht="18.45" x14ac:dyDescent="0.5">
      <c r="A3" s="106"/>
      <c r="B3" s="106"/>
      <c r="C3" s="106"/>
      <c r="D3" s="106"/>
      <c r="E3" s="106"/>
    </row>
    <row r="4" spans="1:5" ht="18.45" x14ac:dyDescent="0.5">
      <c r="A4" s="122">
        <v>1</v>
      </c>
      <c r="B4" s="106"/>
      <c r="C4" s="106"/>
      <c r="D4" s="106"/>
      <c r="E4" s="106"/>
    </row>
    <row r="5" spans="1:5" ht="18.45" x14ac:dyDescent="0.5">
      <c r="A5" s="122">
        <v>2</v>
      </c>
      <c r="B5" s="106"/>
      <c r="C5" s="123" t="s">
        <v>8</v>
      </c>
      <c r="D5" s="123" t="s">
        <v>0</v>
      </c>
      <c r="E5" s="106"/>
    </row>
    <row r="6" spans="1:5" ht="18.45" x14ac:dyDescent="0.5">
      <c r="A6" s="122">
        <v>3</v>
      </c>
      <c r="B6" s="106"/>
      <c r="C6" s="116">
        <f>SUM(1,2,3)</f>
        <v>6</v>
      </c>
      <c r="D6" s="116">
        <v>6</v>
      </c>
      <c r="E6" s="106"/>
    </row>
    <row r="7" spans="1:5" ht="18.45" x14ac:dyDescent="0.5">
      <c r="A7" s="106"/>
      <c r="B7" s="106"/>
      <c r="C7" s="116">
        <f>SUM(A4:A6)</f>
        <v>6</v>
      </c>
      <c r="D7" s="116">
        <v>6</v>
      </c>
      <c r="E7" s="106"/>
    </row>
    <row r="8" spans="1:5" ht="18.45" x14ac:dyDescent="0.5">
      <c r="A8" s="106"/>
      <c r="B8" s="106"/>
      <c r="C8" s="116">
        <f>SUM(A4:A6,6)</f>
        <v>12</v>
      </c>
      <c r="D8" s="116">
        <v>12</v>
      </c>
      <c r="E8" s="106"/>
    </row>
    <row r="9" spans="1:5" ht="18.45" x14ac:dyDescent="0.5">
      <c r="A9" s="106"/>
      <c r="B9" s="106"/>
      <c r="C9" s="116">
        <f>SUM(A4:A6,A10:A12)</f>
        <v>12</v>
      </c>
      <c r="D9" s="116">
        <v>12</v>
      </c>
      <c r="E9" s="106"/>
    </row>
    <row r="10" spans="1:5" ht="18.45" x14ac:dyDescent="0.5">
      <c r="A10" s="124">
        <v>1</v>
      </c>
      <c r="B10" s="106"/>
      <c r="C10" s="106"/>
      <c r="D10" s="106"/>
      <c r="E10" s="106"/>
    </row>
    <row r="11" spans="1:5" ht="18.45" x14ac:dyDescent="0.5">
      <c r="A11" s="124">
        <v>2</v>
      </c>
      <c r="B11" s="106"/>
      <c r="C11" s="106"/>
      <c r="D11" s="106"/>
      <c r="E11" s="106"/>
    </row>
    <row r="12" spans="1:5" ht="18.45" x14ac:dyDescent="0.5">
      <c r="A12" s="124">
        <v>3</v>
      </c>
      <c r="B12" s="106"/>
      <c r="C12" s="106"/>
      <c r="D12" s="106"/>
      <c r="E12" s="106"/>
    </row>
    <row r="13" spans="1:5" ht="18.45" x14ac:dyDescent="0.5">
      <c r="A13" s="106"/>
      <c r="B13" s="106"/>
      <c r="C13" s="106"/>
      <c r="D13" s="106"/>
      <c r="E13" s="106"/>
    </row>
    <row r="14" spans="1:5" ht="18.45" x14ac:dyDescent="0.5">
      <c r="A14" s="106"/>
      <c r="B14" s="106"/>
      <c r="C14" s="106"/>
      <c r="D14" s="106"/>
      <c r="E14" s="106"/>
    </row>
    <row r="15" spans="1:5" ht="18.45" x14ac:dyDescent="0.5">
      <c r="A15" s="106"/>
      <c r="B15" s="106"/>
      <c r="C15" s="106"/>
      <c r="D15" s="106"/>
      <c r="E15" s="106"/>
    </row>
    <row r="16" spans="1:5" ht="18.45" x14ac:dyDescent="0.5">
      <c r="A16" s="106"/>
      <c r="B16" s="106"/>
      <c r="C16" s="106"/>
      <c r="D16" s="106"/>
      <c r="E16" s="106"/>
    </row>
    <row r="17" spans="1:5" ht="18.45" x14ac:dyDescent="0.5">
      <c r="A17" s="106"/>
      <c r="B17" s="106"/>
      <c r="C17" s="106"/>
      <c r="D17" s="106"/>
      <c r="E17" s="106"/>
    </row>
    <row r="18" spans="1:5" ht="18.45" x14ac:dyDescent="0.5">
      <c r="A18" s="106"/>
      <c r="B18" s="106"/>
      <c r="C18" s="106"/>
      <c r="D18" s="106"/>
      <c r="E18" s="1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D13"/>
  <sheetViews>
    <sheetView zoomScaleNormal="100" workbookViewId="0">
      <selection activeCell="D14" sqref="D14"/>
    </sheetView>
  </sheetViews>
  <sheetFormatPr defaultColWidth="8.85546875" defaultRowHeight="14.6" x14ac:dyDescent="0.4"/>
  <cols>
    <col min="1" max="1" width="12.35546875" style="1" customWidth="1"/>
    <col min="2" max="2" width="4.140625" style="1" customWidth="1"/>
    <col min="3" max="3" width="27.85546875" style="1" bestFit="1" customWidth="1"/>
    <col min="4" max="4" width="7.140625" style="1" customWidth="1"/>
    <col min="5" max="16384" width="8.85546875" style="1"/>
  </cols>
  <sheetData>
    <row r="1" spans="1:4" ht="18.45" x14ac:dyDescent="0.5">
      <c r="A1" s="106"/>
      <c r="B1" s="106"/>
      <c r="C1" s="106"/>
      <c r="D1" s="106"/>
    </row>
    <row r="2" spans="1:4" ht="18.45" x14ac:dyDescent="0.5">
      <c r="A2" s="121" t="s">
        <v>19</v>
      </c>
      <c r="B2" s="106"/>
      <c r="C2" s="106"/>
      <c r="D2" s="106"/>
    </row>
    <row r="3" spans="1:4" ht="18.45" x14ac:dyDescent="0.5">
      <c r="A3" s="106"/>
      <c r="B3" s="106"/>
      <c r="C3" s="106"/>
      <c r="D3" s="106"/>
    </row>
    <row r="4" spans="1:4" ht="18.45" x14ac:dyDescent="0.5">
      <c r="A4" s="122">
        <v>1</v>
      </c>
      <c r="B4" s="106"/>
      <c r="C4" s="106"/>
      <c r="D4" s="106"/>
    </row>
    <row r="5" spans="1:4" ht="18.45" x14ac:dyDescent="0.5">
      <c r="A5" s="122">
        <v>2</v>
      </c>
      <c r="B5" s="106"/>
      <c r="C5" s="123" t="s">
        <v>8</v>
      </c>
      <c r="D5" s="123" t="s">
        <v>0</v>
      </c>
    </row>
    <row r="6" spans="1:4" ht="18.45" x14ac:dyDescent="0.5">
      <c r="A6" s="122">
        <v>3</v>
      </c>
      <c r="B6" s="106"/>
      <c r="C6" s="125" t="s">
        <v>226</v>
      </c>
      <c r="D6" s="116">
        <f>PRODUCT(A4,2,3)</f>
        <v>6</v>
      </c>
    </row>
    <row r="7" spans="1:4" ht="18.45" x14ac:dyDescent="0.5">
      <c r="A7" s="106"/>
      <c r="B7" s="106"/>
      <c r="C7" s="125" t="s">
        <v>227</v>
      </c>
      <c r="D7" s="116">
        <f>PRODUCT(A4:A6)</f>
        <v>6</v>
      </c>
    </row>
    <row r="8" spans="1:4" ht="18.45" x14ac:dyDescent="0.5">
      <c r="A8" s="106"/>
      <c r="B8" s="106"/>
      <c r="C8" s="125" t="s">
        <v>228</v>
      </c>
      <c r="D8" s="116">
        <f>PRODUCT(A4:A6,6)</f>
        <v>36</v>
      </c>
    </row>
    <row r="9" spans="1:4" ht="18.45" x14ac:dyDescent="0.5">
      <c r="A9" s="106"/>
      <c r="B9" s="106"/>
      <c r="C9" s="125" t="s">
        <v>244</v>
      </c>
      <c r="D9" s="116">
        <f>PRODUCT(A4:A6,A10:A12)</f>
        <v>36</v>
      </c>
    </row>
    <row r="10" spans="1:4" ht="18.45" x14ac:dyDescent="0.5">
      <c r="A10" s="124">
        <v>1</v>
      </c>
      <c r="B10" s="106"/>
      <c r="C10" s="106"/>
      <c r="D10" s="106"/>
    </row>
    <row r="11" spans="1:4" ht="18.45" x14ac:dyDescent="0.5">
      <c r="A11" s="124">
        <v>2</v>
      </c>
      <c r="B11" s="106"/>
      <c r="C11" s="106"/>
      <c r="D11" s="106"/>
    </row>
    <row r="12" spans="1:4" ht="18.45" x14ac:dyDescent="0.5">
      <c r="A12" s="124">
        <v>3</v>
      </c>
      <c r="B12" s="106"/>
      <c r="C12" s="106"/>
      <c r="D12" s="106"/>
    </row>
    <row r="13" spans="1:4" ht="18.45" x14ac:dyDescent="0.5">
      <c r="A13" s="106"/>
      <c r="B13" s="106"/>
      <c r="C13" s="106"/>
      <c r="D13" s="10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E19"/>
  <sheetViews>
    <sheetView showFormulas="1" zoomScaleNormal="100" workbookViewId="0">
      <selection activeCell="D9" sqref="D9"/>
    </sheetView>
  </sheetViews>
  <sheetFormatPr defaultColWidth="8.85546875" defaultRowHeight="14.6" x14ac:dyDescent="0.4"/>
  <cols>
    <col min="1" max="1" width="4.5" style="1" customWidth="1"/>
    <col min="2" max="2" width="4.140625" style="1" customWidth="1"/>
    <col min="3" max="3" width="13.85546875" style="1" bestFit="1" customWidth="1"/>
    <col min="4" max="4" width="2.85546875" style="1" bestFit="1" customWidth="1"/>
    <col min="5" max="16384" width="8.85546875" style="1"/>
  </cols>
  <sheetData>
    <row r="1" spans="1:5" ht="18.45" x14ac:dyDescent="0.5">
      <c r="A1" s="106"/>
      <c r="B1" s="106"/>
      <c r="C1" s="106"/>
      <c r="D1" s="106"/>
      <c r="E1" s="106"/>
    </row>
    <row r="2" spans="1:5" ht="18.45" x14ac:dyDescent="0.5">
      <c r="A2" s="121" t="s">
        <v>19</v>
      </c>
      <c r="B2" s="106"/>
      <c r="C2" s="106"/>
      <c r="D2" s="106"/>
      <c r="E2" s="106"/>
    </row>
    <row r="3" spans="1:5" ht="18.45" x14ac:dyDescent="0.5">
      <c r="A3" s="106"/>
      <c r="B3" s="106"/>
      <c r="C3" s="106"/>
      <c r="D3" s="106"/>
      <c r="E3" s="106"/>
    </row>
    <row r="4" spans="1:5" ht="18.45" x14ac:dyDescent="0.5">
      <c r="A4" s="122">
        <v>1</v>
      </c>
      <c r="B4" s="106"/>
      <c r="C4" s="106"/>
      <c r="D4" s="106"/>
      <c r="E4" s="106"/>
    </row>
    <row r="5" spans="1:5" ht="18.45" x14ac:dyDescent="0.5">
      <c r="A5" s="122">
        <v>2</v>
      </c>
      <c r="B5" s="106"/>
      <c r="C5" s="123" t="s">
        <v>8</v>
      </c>
      <c r="D5" s="123" t="s">
        <v>0</v>
      </c>
      <c r="E5" s="106"/>
    </row>
    <row r="6" spans="1:5" ht="18.45" x14ac:dyDescent="0.5">
      <c r="A6" s="122">
        <v>3</v>
      </c>
      <c r="B6" s="106"/>
      <c r="C6" s="116">
        <f>AVERAGE(1,2,3)</f>
        <v>2</v>
      </c>
      <c r="D6" s="116">
        <v>2</v>
      </c>
      <c r="E6" s="106"/>
    </row>
    <row r="7" spans="1:5" ht="18.45" x14ac:dyDescent="0.5">
      <c r="A7" s="106"/>
      <c r="B7" s="106"/>
      <c r="C7" s="116">
        <f>AVERAGE(A4:A6)</f>
        <v>2</v>
      </c>
      <c r="D7" s="116">
        <v>2</v>
      </c>
      <c r="E7" s="106"/>
    </row>
    <row r="8" spans="1:5" ht="18.45" x14ac:dyDescent="0.5">
      <c r="A8" s="106"/>
      <c r="B8" s="106"/>
      <c r="C8" s="116">
        <f>AVERAGE(A4:A6,6)</f>
        <v>3</v>
      </c>
      <c r="D8" s="116">
        <v>3</v>
      </c>
      <c r="E8" s="106"/>
    </row>
    <row r="9" spans="1:5" ht="18.45" x14ac:dyDescent="0.5">
      <c r="A9" s="106"/>
      <c r="B9" s="106"/>
      <c r="C9" s="116">
        <f>AVERAGE(A4:A6,A10:A12)</f>
        <v>2</v>
      </c>
      <c r="D9" s="116">
        <v>2</v>
      </c>
      <c r="E9" s="106"/>
    </row>
    <row r="10" spans="1:5" ht="18.45" x14ac:dyDescent="0.5">
      <c r="A10" s="124">
        <v>1</v>
      </c>
      <c r="B10" s="106"/>
      <c r="C10" s="106"/>
      <c r="D10" s="106"/>
      <c r="E10" s="106"/>
    </row>
    <row r="11" spans="1:5" ht="18.45" x14ac:dyDescent="0.5">
      <c r="A11" s="124">
        <v>2</v>
      </c>
      <c r="B11" s="106"/>
      <c r="C11" s="106"/>
      <c r="D11" s="106"/>
      <c r="E11" s="106"/>
    </row>
    <row r="12" spans="1:5" ht="18.45" x14ac:dyDescent="0.5">
      <c r="A12" s="124">
        <v>3</v>
      </c>
      <c r="B12" s="106"/>
      <c r="C12" s="106"/>
      <c r="D12" s="106"/>
      <c r="E12" s="106"/>
    </row>
    <row r="13" spans="1:5" ht="18.45" x14ac:dyDescent="0.5">
      <c r="A13" s="106"/>
      <c r="B13" s="106"/>
      <c r="C13" s="106"/>
      <c r="D13" s="106"/>
      <c r="E13" s="106"/>
    </row>
    <row r="14" spans="1:5" ht="18.45" x14ac:dyDescent="0.5">
      <c r="A14" s="106"/>
      <c r="B14" s="106"/>
      <c r="C14" s="106"/>
      <c r="D14" s="106"/>
      <c r="E14" s="106"/>
    </row>
    <row r="15" spans="1:5" ht="18.45" x14ac:dyDescent="0.5">
      <c r="A15" s="106"/>
      <c r="B15" s="106"/>
      <c r="C15" s="106"/>
      <c r="D15" s="106"/>
      <c r="E15" s="106"/>
    </row>
    <row r="16" spans="1:5" ht="18.45" x14ac:dyDescent="0.5">
      <c r="A16" s="106"/>
      <c r="B16" s="106"/>
      <c r="C16" s="106"/>
      <c r="D16" s="106"/>
      <c r="E16" s="106"/>
    </row>
    <row r="17" spans="1:5" ht="18.45" x14ac:dyDescent="0.5">
      <c r="A17" s="106"/>
      <c r="B17" s="106"/>
      <c r="C17" s="106"/>
      <c r="D17" s="106"/>
      <c r="E17" s="106"/>
    </row>
    <row r="18" spans="1:5" ht="18.45" x14ac:dyDescent="0.5">
      <c r="A18" s="106"/>
      <c r="B18" s="106"/>
      <c r="C18" s="106"/>
      <c r="D18" s="106"/>
      <c r="E18" s="106"/>
    </row>
    <row r="19" spans="1:5" ht="18.45" x14ac:dyDescent="0.5">
      <c r="A19" s="106"/>
      <c r="B19" s="106"/>
      <c r="C19" s="106"/>
      <c r="D19" s="106"/>
      <c r="E19" s="10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F13"/>
  <sheetViews>
    <sheetView showFormulas="1" zoomScaleNormal="100" workbookViewId="0">
      <selection activeCell="D11" sqref="D11"/>
    </sheetView>
  </sheetViews>
  <sheetFormatPr defaultColWidth="8.85546875" defaultRowHeight="14.6" x14ac:dyDescent="0.4"/>
  <cols>
    <col min="1" max="1" width="12.85546875" style="1" customWidth="1"/>
    <col min="2" max="2" width="6.640625" style="1" customWidth="1"/>
    <col min="3" max="3" width="9.640625" style="1" customWidth="1"/>
    <col min="4" max="4" width="11.640625" style="1" bestFit="1" customWidth="1"/>
    <col min="5" max="5" width="3.35546875" style="1" bestFit="1" customWidth="1"/>
    <col min="6" max="16384" width="8.85546875" style="1"/>
  </cols>
  <sheetData>
    <row r="1" spans="1:6" ht="18.899999999999999" thickBot="1" x14ac:dyDescent="0.55000000000000004">
      <c r="A1" s="106"/>
      <c r="B1" s="148" t="s">
        <v>7</v>
      </c>
      <c r="C1" s="148"/>
      <c r="D1" s="106"/>
      <c r="E1" s="106"/>
      <c r="F1" s="106"/>
    </row>
    <row r="2" spans="1:6" ht="18.899999999999999" thickTop="1" x14ac:dyDescent="0.5">
      <c r="A2" s="107" t="s">
        <v>4</v>
      </c>
      <c r="B2" s="108" t="s">
        <v>6</v>
      </c>
      <c r="C2" s="109" t="s">
        <v>5</v>
      </c>
      <c r="D2" s="110" t="s">
        <v>1</v>
      </c>
      <c r="E2" s="111" t="s">
        <v>0</v>
      </c>
      <c r="F2" s="106"/>
    </row>
    <row r="3" spans="1:6" ht="18.45" x14ac:dyDescent="0.5">
      <c r="A3" s="112">
        <f>ROUND(1.735463,0)</f>
        <v>2</v>
      </c>
      <c r="B3" s="113">
        <v>1.735463</v>
      </c>
      <c r="C3" s="114">
        <v>0</v>
      </c>
      <c r="D3" s="115">
        <f>ROUND(B3,C3)</f>
        <v>2</v>
      </c>
      <c r="E3" s="116">
        <v>2</v>
      </c>
      <c r="F3" s="106"/>
    </row>
    <row r="4" spans="1:6" ht="18.45" x14ac:dyDescent="0.5">
      <c r="A4" s="112">
        <f>ROUNDUP(1.00001,0)</f>
        <v>2</v>
      </c>
      <c r="B4" s="113">
        <v>1.0000100000000001</v>
      </c>
      <c r="C4" s="114">
        <v>0</v>
      </c>
      <c r="D4" s="115">
        <f>ROUNDUP(B4,C4)</f>
        <v>2</v>
      </c>
      <c r="E4" s="116">
        <v>2</v>
      </c>
      <c r="F4" s="106"/>
    </row>
    <row r="5" spans="1:6" ht="18.45" x14ac:dyDescent="0.5">
      <c r="A5" s="112">
        <f>ROUNDDOWN(1.735463,3)</f>
        <v>1.7350000000000001</v>
      </c>
      <c r="B5" s="113">
        <v>1.735463</v>
      </c>
      <c r="C5" s="114">
        <v>3</v>
      </c>
      <c r="D5" s="115">
        <f>ROUNDDOWN(B5,C5)</f>
        <v>1.7350000000000001</v>
      </c>
      <c r="E5" s="116">
        <v>1.7350000000000001</v>
      </c>
      <c r="F5" s="106"/>
    </row>
    <row r="6" spans="1:6" ht="18.45" x14ac:dyDescent="0.5">
      <c r="A6" s="112"/>
      <c r="B6" s="113"/>
      <c r="C6" s="114"/>
      <c r="D6" s="115"/>
      <c r="E6" s="116"/>
      <c r="F6" s="106"/>
    </row>
    <row r="7" spans="1:6" ht="18.45" x14ac:dyDescent="0.5">
      <c r="A7" s="107" t="s">
        <v>4</v>
      </c>
      <c r="B7" s="117" t="s">
        <v>3</v>
      </c>
      <c r="C7" s="118" t="s">
        <v>2</v>
      </c>
      <c r="D7" s="110" t="s">
        <v>1</v>
      </c>
      <c r="E7" s="111" t="s">
        <v>0</v>
      </c>
      <c r="F7" s="106"/>
    </row>
    <row r="8" spans="1:6" ht="18.899999999999999" thickBot="1" x14ac:dyDescent="0.55000000000000004">
      <c r="A8" s="112">
        <f>MROUND(1.73456,0.05)</f>
        <v>1.75</v>
      </c>
      <c r="B8" s="119">
        <v>1.7345600000000001</v>
      </c>
      <c r="C8" s="120">
        <v>0.05</v>
      </c>
      <c r="D8" s="115">
        <f>MROUND(B8,C8)</f>
        <v>1.75</v>
      </c>
      <c r="E8" s="116">
        <v>1.75</v>
      </c>
      <c r="F8" s="106"/>
    </row>
    <row r="9" spans="1:6" ht="18.899999999999999" thickTop="1" x14ac:dyDescent="0.5">
      <c r="A9" s="106"/>
      <c r="B9" s="106"/>
      <c r="C9" s="106"/>
      <c r="D9" s="106"/>
      <c r="E9" s="106"/>
      <c r="F9" s="106"/>
    </row>
    <row r="10" spans="1:6" ht="18.45" x14ac:dyDescent="0.5">
      <c r="A10" s="106"/>
      <c r="B10" s="106"/>
      <c r="C10" s="106"/>
      <c r="D10" s="106"/>
      <c r="E10" s="106"/>
      <c r="F10" s="106"/>
    </row>
    <row r="11" spans="1:6" ht="18.45" x14ac:dyDescent="0.5">
      <c r="A11" s="106"/>
      <c r="B11" s="106"/>
      <c r="C11" s="106"/>
      <c r="D11" s="106"/>
      <c r="E11" s="106"/>
      <c r="F11" s="106"/>
    </row>
    <row r="12" spans="1:6" ht="18.45" x14ac:dyDescent="0.5">
      <c r="A12" s="106"/>
      <c r="B12" s="106"/>
      <c r="C12" s="106"/>
      <c r="D12" s="106"/>
      <c r="E12" s="106"/>
      <c r="F12" s="106"/>
    </row>
    <row r="13" spans="1:6" ht="18.45" x14ac:dyDescent="0.5">
      <c r="A13" s="106"/>
      <c r="B13" s="106"/>
      <c r="C13" s="106"/>
      <c r="D13" s="106"/>
      <c r="E13" s="106"/>
      <c r="F13" s="106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B3:L21"/>
  <sheetViews>
    <sheetView tabSelected="1" topLeftCell="A6" workbookViewId="0">
      <selection activeCell="I20" sqref="I20:K20"/>
    </sheetView>
  </sheetViews>
  <sheetFormatPr defaultColWidth="11.140625" defaultRowHeight="15.9" x14ac:dyDescent="0.45"/>
  <cols>
    <col min="5" max="5" width="30.640625" customWidth="1"/>
    <col min="9" max="9" width="15.35546875" customWidth="1"/>
    <col min="10" max="10" width="13.35546875" customWidth="1"/>
    <col min="11" max="11" width="15.5" customWidth="1"/>
  </cols>
  <sheetData>
    <row r="3" spans="2:12" ht="18.45" x14ac:dyDescent="0.5">
      <c r="G3" s="92"/>
      <c r="H3" s="5" t="s">
        <v>190</v>
      </c>
      <c r="I3" s="92"/>
      <c r="J3" s="92"/>
      <c r="K3" s="92"/>
      <c r="L3" s="92"/>
    </row>
    <row r="4" spans="2:12" ht="18.45" x14ac:dyDescent="0.5">
      <c r="G4" s="92"/>
      <c r="H4" s="92"/>
      <c r="I4" s="92"/>
      <c r="J4" s="92"/>
      <c r="K4" s="92"/>
      <c r="L4" s="92"/>
    </row>
    <row r="5" spans="2:12" ht="18.45" x14ac:dyDescent="0.5">
      <c r="G5" s="92"/>
      <c r="H5" s="92" t="s">
        <v>189</v>
      </c>
      <c r="I5" s="92"/>
      <c r="J5" s="92"/>
      <c r="K5" s="92"/>
      <c r="L5" s="92"/>
    </row>
    <row r="6" spans="2:12" ht="18.45" x14ac:dyDescent="0.5">
      <c r="G6" s="92"/>
      <c r="H6" s="92"/>
      <c r="I6" s="92"/>
      <c r="J6" s="92"/>
      <c r="K6" s="92"/>
      <c r="L6" s="92"/>
    </row>
    <row r="7" spans="2:12" ht="18.45" x14ac:dyDescent="0.5">
      <c r="G7" s="92"/>
      <c r="H7" s="92" t="s">
        <v>188</v>
      </c>
      <c r="I7" s="92" t="s">
        <v>187</v>
      </c>
      <c r="J7" s="92"/>
      <c r="K7" s="92"/>
      <c r="L7" s="92"/>
    </row>
    <row r="8" spans="2:12" ht="18.45" x14ac:dyDescent="0.5">
      <c r="G8" s="92"/>
      <c r="H8" s="92" t="s">
        <v>186</v>
      </c>
      <c r="I8" s="92" t="s">
        <v>185</v>
      </c>
      <c r="J8" s="92"/>
      <c r="K8" s="92"/>
      <c r="L8" s="92"/>
    </row>
    <row r="9" spans="2:12" ht="18.45" x14ac:dyDescent="0.5">
      <c r="G9" s="92"/>
      <c r="H9" s="92" t="s">
        <v>184</v>
      </c>
      <c r="I9" s="92" t="s">
        <v>183</v>
      </c>
      <c r="J9" s="92"/>
      <c r="K9" s="92"/>
      <c r="L9" s="92"/>
    </row>
    <row r="10" spans="2:12" ht="18.45" x14ac:dyDescent="0.5">
      <c r="G10" s="92"/>
      <c r="H10" s="92"/>
      <c r="I10" s="92"/>
      <c r="J10" s="92"/>
      <c r="K10" s="92"/>
      <c r="L10" s="92"/>
    </row>
    <row r="11" spans="2:12" ht="18.45" x14ac:dyDescent="0.5">
      <c r="B11" s="5" t="s">
        <v>166</v>
      </c>
      <c r="G11" s="92"/>
      <c r="H11" s="92"/>
      <c r="I11" s="92"/>
      <c r="J11" s="92"/>
      <c r="K11" s="92"/>
      <c r="L11" s="92"/>
    </row>
    <row r="12" spans="2:12" ht="18.45" x14ac:dyDescent="0.5">
      <c r="C12" s="149" t="s">
        <v>167</v>
      </c>
      <c r="D12" s="149"/>
      <c r="E12" s="91" t="s">
        <v>182</v>
      </c>
      <c r="F12" s="91" t="s">
        <v>0</v>
      </c>
      <c r="G12" s="92"/>
      <c r="H12" s="5" t="s">
        <v>166</v>
      </c>
      <c r="I12" s="92" t="s">
        <v>181</v>
      </c>
      <c r="J12" s="92"/>
      <c r="K12" s="92"/>
      <c r="L12" s="92"/>
    </row>
    <row r="13" spans="2:12" ht="18.45" x14ac:dyDescent="0.5">
      <c r="C13" s="93">
        <v>1</v>
      </c>
      <c r="D13" s="93">
        <v>2</v>
      </c>
      <c r="E13" s="90" t="s">
        <v>180</v>
      </c>
      <c r="F13" s="90">
        <f>SUM(C13:C16)</f>
        <v>10</v>
      </c>
      <c r="G13" s="92"/>
      <c r="H13" s="99" t="s">
        <v>170</v>
      </c>
      <c r="I13" s="105" t="s">
        <v>179</v>
      </c>
      <c r="J13" s="105" t="s">
        <v>8</v>
      </c>
      <c r="K13" s="104" t="s">
        <v>178</v>
      </c>
      <c r="L13" s="104" t="s">
        <v>8</v>
      </c>
    </row>
    <row r="14" spans="2:12" ht="18.45" x14ac:dyDescent="0.5">
      <c r="C14" s="93">
        <v>2</v>
      </c>
      <c r="D14" s="93">
        <v>3</v>
      </c>
      <c r="E14" s="90" t="s">
        <v>177</v>
      </c>
      <c r="F14" s="90">
        <f>SUM(C13:C16,C14:D14)</f>
        <v>15</v>
      </c>
      <c r="G14" s="92"/>
      <c r="H14" s="98">
        <v>3</v>
      </c>
      <c r="I14" s="103">
        <f>3*$H$14</f>
        <v>9</v>
      </c>
      <c r="J14" s="102" t="s">
        <v>172</v>
      </c>
      <c r="K14" s="101">
        <f>3*$H14</f>
        <v>9</v>
      </c>
      <c r="L14" s="100" t="s">
        <v>176</v>
      </c>
    </row>
    <row r="15" spans="2:12" ht="18.45" x14ac:dyDescent="0.5">
      <c r="C15" s="93">
        <v>3</v>
      </c>
      <c r="D15" s="93">
        <v>4</v>
      </c>
      <c r="E15" s="90" t="s">
        <v>175</v>
      </c>
      <c r="F15" s="90">
        <f>SUM(C13:C16 C14:D14)</f>
        <v>2</v>
      </c>
      <c r="G15" s="92"/>
      <c r="H15" s="98">
        <v>2</v>
      </c>
      <c r="I15" s="103">
        <f>3*$H$14</f>
        <v>9</v>
      </c>
      <c r="J15" s="102" t="s">
        <v>172</v>
      </c>
      <c r="K15" s="101">
        <f>3*$H15</f>
        <v>6</v>
      </c>
      <c r="L15" s="100" t="s">
        <v>174</v>
      </c>
    </row>
    <row r="16" spans="2:12" ht="18.45" x14ac:dyDescent="0.5">
      <c r="C16" s="93">
        <v>4</v>
      </c>
      <c r="D16" s="93">
        <v>5</v>
      </c>
      <c r="E16" s="90" t="s">
        <v>173</v>
      </c>
      <c r="F16" s="90">
        <f>SUM(C13:C16,C14:D14,C13:D13)</f>
        <v>18</v>
      </c>
      <c r="G16" s="92"/>
      <c r="H16" s="98">
        <v>1</v>
      </c>
      <c r="I16" s="103">
        <f>3*$H$14</f>
        <v>9</v>
      </c>
      <c r="J16" s="102" t="s">
        <v>172</v>
      </c>
      <c r="K16" s="101">
        <f>3*$H16</f>
        <v>3</v>
      </c>
      <c r="L16" s="100" t="s">
        <v>171</v>
      </c>
    </row>
    <row r="17" spans="3:12" ht="18.45" x14ac:dyDescent="0.5">
      <c r="C17" s="92"/>
      <c r="D17" s="92"/>
      <c r="E17" s="92"/>
      <c r="F17" s="92"/>
      <c r="G17" s="92"/>
      <c r="H17" s="92"/>
      <c r="I17" s="92"/>
      <c r="J17" s="92"/>
      <c r="K17" s="92"/>
      <c r="L17" s="92"/>
    </row>
    <row r="18" spans="3:12" ht="18.45" x14ac:dyDescent="0.5">
      <c r="H18" s="99" t="s">
        <v>170</v>
      </c>
      <c r="I18" s="98">
        <v>3</v>
      </c>
      <c r="J18" s="98">
        <v>2</v>
      </c>
      <c r="K18" s="98">
        <v>1</v>
      </c>
    </row>
    <row r="19" spans="3:12" ht="18.45" x14ac:dyDescent="0.5">
      <c r="H19" s="96" t="s">
        <v>169</v>
      </c>
      <c r="I19" s="97">
        <f>3*I$18</f>
        <v>9</v>
      </c>
      <c r="J19" s="97">
        <f>3*J$18</f>
        <v>6</v>
      </c>
      <c r="K19" s="97">
        <f>3*K$18</f>
        <v>3</v>
      </c>
    </row>
    <row r="20" spans="3:12" ht="18.45" x14ac:dyDescent="0.5">
      <c r="H20" s="96" t="s">
        <v>8</v>
      </c>
      <c r="I20" s="95" t="s">
        <v>168</v>
      </c>
      <c r="J20" s="95" t="s">
        <v>245</v>
      </c>
      <c r="K20" s="95" t="s">
        <v>246</v>
      </c>
    </row>
    <row r="21" spans="3:12" ht="18.45" x14ac:dyDescent="0.5">
      <c r="H21" s="94"/>
    </row>
  </sheetData>
  <mergeCells count="1">
    <mergeCell ref="C12:D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2:L33"/>
  <sheetViews>
    <sheetView workbookViewId="0">
      <selection sqref="A1:C13"/>
    </sheetView>
  </sheetViews>
  <sheetFormatPr defaultColWidth="10.640625" defaultRowHeight="15.9" x14ac:dyDescent="0.45"/>
  <cols>
    <col min="2" max="2" width="13.5" customWidth="1"/>
  </cols>
  <sheetData>
    <row r="2" spans="2:12" ht="18.45" x14ac:dyDescent="0.5">
      <c r="B2" s="5" t="s">
        <v>223</v>
      </c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2:12" ht="18.45" x14ac:dyDescent="0.5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2:12" ht="18.45" x14ac:dyDescent="0.5">
      <c r="B4" s="92" t="s">
        <v>213</v>
      </c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2:12" ht="18.45" x14ac:dyDescent="0.5">
      <c r="B5" s="92" t="s">
        <v>222</v>
      </c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2:12" ht="18.45" x14ac:dyDescent="0.5"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 ht="18.45" x14ac:dyDescent="0.5">
      <c r="B7" s="5" t="s">
        <v>214</v>
      </c>
      <c r="C7" s="98" t="s">
        <v>219</v>
      </c>
      <c r="D7" s="92"/>
      <c r="E7" s="92" t="s">
        <v>221</v>
      </c>
      <c r="F7" s="92"/>
      <c r="G7" s="142" t="s">
        <v>219</v>
      </c>
      <c r="I7" s="92"/>
      <c r="J7" s="92"/>
      <c r="K7" s="92"/>
      <c r="L7" s="92"/>
    </row>
    <row r="8" spans="2:12" ht="18.45" x14ac:dyDescent="0.5">
      <c r="B8" s="92"/>
      <c r="C8" s="98" t="s">
        <v>215</v>
      </c>
      <c r="D8" s="92"/>
      <c r="E8" s="92"/>
      <c r="F8" s="92"/>
      <c r="G8" s="92"/>
      <c r="H8" s="92"/>
      <c r="I8" s="92"/>
      <c r="J8" s="92"/>
      <c r="K8" s="92"/>
      <c r="L8" s="92"/>
    </row>
    <row r="9" spans="2:12" ht="18.45" x14ac:dyDescent="0.5">
      <c r="B9" s="92"/>
      <c r="C9" s="98" t="s">
        <v>216</v>
      </c>
      <c r="D9" s="92"/>
      <c r="E9" s="92"/>
      <c r="F9" s="92"/>
      <c r="G9" s="92"/>
      <c r="H9" s="92"/>
      <c r="I9" s="92"/>
      <c r="J9" s="92"/>
      <c r="K9" s="92"/>
      <c r="L9" s="92"/>
    </row>
    <row r="10" spans="2:12" ht="18.45" x14ac:dyDescent="0.5">
      <c r="B10" s="92"/>
      <c r="C10" s="98" t="s">
        <v>217</v>
      </c>
      <c r="D10" s="92"/>
      <c r="E10" s="92"/>
      <c r="F10" s="92"/>
      <c r="G10" s="92"/>
      <c r="H10" s="92"/>
      <c r="I10" s="92"/>
      <c r="J10" s="92"/>
      <c r="K10" s="92"/>
      <c r="L10" s="92"/>
    </row>
    <row r="11" spans="2:12" ht="18.45" x14ac:dyDescent="0.5">
      <c r="B11" s="92"/>
      <c r="C11" s="98" t="s">
        <v>218</v>
      </c>
      <c r="D11" s="92"/>
      <c r="E11" s="92"/>
      <c r="F11" s="92"/>
      <c r="G11" s="92"/>
      <c r="H11" s="92"/>
      <c r="I11" s="92"/>
      <c r="J11" s="92"/>
      <c r="K11" s="92"/>
      <c r="L11" s="92"/>
    </row>
    <row r="12" spans="2:12" ht="18.45" x14ac:dyDescent="0.5">
      <c r="B12" s="92"/>
      <c r="C12" s="98" t="s">
        <v>220</v>
      </c>
      <c r="D12" s="92"/>
      <c r="E12" s="92"/>
      <c r="F12" s="92"/>
      <c r="G12" s="92"/>
      <c r="H12" s="92"/>
      <c r="I12" s="92"/>
      <c r="J12" s="92"/>
      <c r="K12" s="92"/>
      <c r="L12" s="92"/>
    </row>
    <row r="13" spans="2:12" ht="18.45" x14ac:dyDescent="0.5"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</row>
    <row r="24" spans="1:8" ht="18.45" x14ac:dyDescent="0.5">
      <c r="A24" s="92"/>
      <c r="B24" s="92"/>
      <c r="C24" s="92"/>
      <c r="D24" s="92"/>
      <c r="E24" s="92"/>
      <c r="F24" s="92"/>
      <c r="G24" s="92"/>
      <c r="H24" s="92"/>
    </row>
    <row r="25" spans="1:8" ht="18.45" x14ac:dyDescent="0.5">
      <c r="A25" s="92"/>
      <c r="B25" s="92"/>
      <c r="C25" s="92"/>
      <c r="D25" s="92"/>
      <c r="E25" s="92"/>
      <c r="F25" s="92"/>
      <c r="G25" s="92"/>
      <c r="H25" s="92"/>
    </row>
    <row r="26" spans="1:8" ht="18.45" x14ac:dyDescent="0.5">
      <c r="A26" s="92"/>
      <c r="B26" s="5" t="s">
        <v>224</v>
      </c>
      <c r="C26" s="92"/>
      <c r="D26" s="92"/>
      <c r="E26" s="92"/>
      <c r="F26" s="92"/>
      <c r="G26" s="92"/>
      <c r="H26" s="92"/>
    </row>
    <row r="27" spans="1:8" ht="18.45" x14ac:dyDescent="0.5">
      <c r="A27" s="92"/>
      <c r="B27" s="92"/>
      <c r="C27" s="92"/>
      <c r="D27" s="92"/>
      <c r="E27" s="92"/>
      <c r="F27" s="92"/>
      <c r="G27" s="92"/>
      <c r="H27" s="92"/>
    </row>
    <row r="28" spans="1:8" ht="18.45" x14ac:dyDescent="0.5">
      <c r="A28" s="92"/>
      <c r="B28" s="92" t="s">
        <v>222</v>
      </c>
      <c r="C28" s="92"/>
      <c r="D28" s="92"/>
      <c r="E28" s="92"/>
      <c r="F28" s="92"/>
      <c r="G28" s="92"/>
      <c r="H28" s="92"/>
    </row>
    <row r="29" spans="1:8" ht="18.45" x14ac:dyDescent="0.5">
      <c r="A29" s="92"/>
      <c r="B29" s="92"/>
      <c r="C29" s="92"/>
      <c r="D29" s="92"/>
      <c r="E29" s="92"/>
      <c r="F29" s="92"/>
      <c r="G29" s="92"/>
      <c r="H29" s="92"/>
    </row>
    <row r="30" spans="1:8" ht="18.45" x14ac:dyDescent="0.5">
      <c r="A30" s="92"/>
      <c r="B30" s="92" t="s">
        <v>225</v>
      </c>
      <c r="C30" s="92"/>
      <c r="D30" s="92"/>
      <c r="E30" s="92"/>
      <c r="F30" s="92"/>
      <c r="H30" s="142">
        <v>2</v>
      </c>
    </row>
    <row r="31" spans="1:8" ht="18.45" x14ac:dyDescent="0.5">
      <c r="A31" s="92"/>
      <c r="B31" s="92"/>
      <c r="C31" s="92"/>
      <c r="D31" s="92"/>
      <c r="E31" s="92"/>
      <c r="F31" s="92"/>
      <c r="G31" s="92"/>
      <c r="H31" s="92"/>
    </row>
    <row r="32" spans="1:8" ht="18.45" x14ac:dyDescent="0.5">
      <c r="A32" s="92"/>
      <c r="B32" s="92"/>
      <c r="C32" s="92"/>
      <c r="D32" s="92"/>
      <c r="E32" s="92"/>
      <c r="F32" s="92"/>
      <c r="G32" s="92"/>
      <c r="H32" s="92"/>
    </row>
    <row r="33" spans="1:8" ht="18.45" x14ac:dyDescent="0.5">
      <c r="A33" s="92"/>
      <c r="B33" s="92"/>
      <c r="C33" s="92"/>
      <c r="D33" s="92"/>
      <c r="E33" s="92"/>
      <c r="F33" s="92"/>
      <c r="G33" s="92"/>
      <c r="H33" s="92"/>
    </row>
  </sheetData>
  <dataValidations count="2">
    <dataValidation type="list" allowBlank="1" showInputMessage="1" showErrorMessage="1" sqref="G7" xr:uid="{00000000-0002-0000-0700-000000000000}">
      <formula1>$C$7:$C$12</formula1>
    </dataValidation>
    <dataValidation type="whole" allowBlank="1" showInputMessage="1" showErrorMessage="1" sqref="H30" xr:uid="{00000000-0002-0000-0700-000001000000}">
      <formula1>0</formula1>
      <formula2>3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B2:E24"/>
  <sheetViews>
    <sheetView topLeftCell="A4" workbookViewId="0">
      <selection activeCell="D21" sqref="D21"/>
    </sheetView>
  </sheetViews>
  <sheetFormatPr defaultRowHeight="15.9" x14ac:dyDescent="0.45"/>
  <cols>
    <col min="2" max="2" width="24.5703125" customWidth="1"/>
    <col min="3" max="5" width="17.92578125" customWidth="1"/>
  </cols>
  <sheetData>
    <row r="2" spans="2:5" ht="18.45" x14ac:dyDescent="0.5">
      <c r="B2" s="5" t="s">
        <v>229</v>
      </c>
      <c r="C2" s="92"/>
    </row>
    <row r="3" spans="2:5" ht="18.45" x14ac:dyDescent="0.5">
      <c r="B3" s="92"/>
      <c r="C3" s="92"/>
    </row>
    <row r="4" spans="2:5" ht="18.45" x14ac:dyDescent="0.5">
      <c r="B4" s="92" t="s">
        <v>230</v>
      </c>
      <c r="C4" s="92"/>
    </row>
    <row r="5" spans="2:5" ht="18.45" x14ac:dyDescent="0.5">
      <c r="B5" s="92" t="s">
        <v>222</v>
      </c>
      <c r="C5" s="92"/>
    </row>
    <row r="6" spans="2:5" ht="18.45" x14ac:dyDescent="0.5">
      <c r="B6" s="92"/>
      <c r="C6" s="92"/>
    </row>
    <row r="7" spans="2:5" ht="18.45" x14ac:dyDescent="0.5">
      <c r="B7" s="143" t="s">
        <v>231</v>
      </c>
      <c r="C7" t="s">
        <v>232</v>
      </c>
    </row>
    <row r="8" spans="2:5" ht="18.45" x14ac:dyDescent="0.5">
      <c r="B8" s="92"/>
      <c r="C8" t="s">
        <v>233</v>
      </c>
    </row>
    <row r="9" spans="2:5" ht="18.45" x14ac:dyDescent="0.5">
      <c r="B9" s="92"/>
      <c r="C9" s="98">
        <f ca="1">RAND()</f>
        <v>0.6511380422334494</v>
      </c>
      <c r="D9" s="98">
        <f t="shared" ref="D9:E9" ca="1" si="0">RAND()</f>
        <v>0.99422295549490125</v>
      </c>
      <c r="E9" s="98">
        <f t="shared" ca="1" si="0"/>
        <v>0.55467573962821981</v>
      </c>
    </row>
    <row r="10" spans="2:5" ht="18.45" x14ac:dyDescent="0.5">
      <c r="B10" s="92"/>
    </row>
    <row r="11" spans="2:5" ht="18.45" x14ac:dyDescent="0.5">
      <c r="B11" s="143" t="s">
        <v>234</v>
      </c>
      <c r="C11" t="s">
        <v>235</v>
      </c>
    </row>
    <row r="12" spans="2:5" ht="18.45" x14ac:dyDescent="0.5">
      <c r="B12" s="92"/>
      <c r="C12" t="s">
        <v>233</v>
      </c>
    </row>
    <row r="13" spans="2:5" ht="18.45" x14ac:dyDescent="0.5">
      <c r="B13" s="92"/>
      <c r="C13" s="98">
        <f ca="1">RANDBETWEEN(C15,C16)</f>
        <v>21</v>
      </c>
      <c r="D13" s="98">
        <f t="shared" ref="D13:E13" ca="1" si="1">RANDBETWEEN(D15,D16)</f>
        <v>3</v>
      </c>
      <c r="E13" s="98">
        <f t="shared" ca="1" si="1"/>
        <v>0</v>
      </c>
    </row>
    <row r="15" spans="2:5" x14ac:dyDescent="0.45">
      <c r="B15" s="144" t="s">
        <v>236</v>
      </c>
      <c r="C15" s="145">
        <v>15</v>
      </c>
      <c r="D15" s="145">
        <v>1</v>
      </c>
      <c r="E15" s="145">
        <v>0</v>
      </c>
    </row>
    <row r="16" spans="2:5" x14ac:dyDescent="0.45">
      <c r="B16" s="144" t="s">
        <v>237</v>
      </c>
      <c r="C16" s="145">
        <v>50</v>
      </c>
      <c r="D16" s="145">
        <v>5</v>
      </c>
      <c r="E16" s="145">
        <v>2</v>
      </c>
    </row>
    <row r="19" spans="2:5" ht="18.45" x14ac:dyDescent="0.5">
      <c r="B19" s="143" t="s">
        <v>238</v>
      </c>
      <c r="C19" t="s">
        <v>239</v>
      </c>
    </row>
    <row r="20" spans="2:5" x14ac:dyDescent="0.45">
      <c r="C20" t="s">
        <v>240</v>
      </c>
    </row>
    <row r="21" spans="2:5" ht="18.45" x14ac:dyDescent="0.5">
      <c r="C21" s="98">
        <f ca="1">RANDBETWEEN(C23,C24)+RAND()</f>
        <v>4.8810774722986219</v>
      </c>
      <c r="D21" s="98">
        <f ca="1">RANDBETWEEN(C23,C24)+RAND()</f>
        <v>3.9292608196763696</v>
      </c>
      <c r="E21" s="98">
        <f ca="1">RANDBETWEEN(C23,C24)+RAND()</f>
        <v>3.9928942266187599</v>
      </c>
    </row>
    <row r="23" spans="2:5" x14ac:dyDescent="0.45">
      <c r="B23" s="144" t="s">
        <v>236</v>
      </c>
      <c r="C23" s="145">
        <v>1</v>
      </c>
    </row>
    <row r="24" spans="2:5" x14ac:dyDescent="0.45">
      <c r="B24" s="144" t="s">
        <v>237</v>
      </c>
      <c r="C24" s="147">
        <v>5</v>
      </c>
      <c r="D24" s="146" t="s">
        <v>241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5"/>
  <sheetViews>
    <sheetView workbookViewId="0">
      <selection activeCell="A10" sqref="A10"/>
    </sheetView>
  </sheetViews>
  <sheetFormatPr defaultColWidth="11.140625" defaultRowHeight="15.9" x14ac:dyDescent="0.45"/>
  <cols>
    <col min="3" max="3" width="16.140625" customWidth="1"/>
    <col min="4" max="4" width="15.640625" customWidth="1"/>
    <col min="5" max="5" width="16.140625" customWidth="1"/>
    <col min="6" max="6" width="14.35546875" customWidth="1"/>
    <col min="7" max="7" width="17.35546875" customWidth="1"/>
    <col min="9" max="9" width="17.35546875" customWidth="1"/>
    <col min="10" max="10" width="15.640625" customWidth="1"/>
    <col min="11" max="12" width="18.5" customWidth="1"/>
    <col min="13" max="13" width="15" customWidth="1"/>
    <col min="15" max="15" width="15.85546875" customWidth="1"/>
  </cols>
  <sheetData>
    <row r="1" spans="1:16" x14ac:dyDescent="0.45">
      <c r="A1" s="8"/>
      <c r="B1" s="30"/>
      <c r="C1" s="30"/>
      <c r="D1" s="30"/>
      <c r="E1" s="30"/>
      <c r="F1" s="30"/>
      <c r="G1" s="30"/>
      <c r="H1" s="36"/>
      <c r="I1" s="30"/>
      <c r="J1" s="30"/>
      <c r="K1" s="30"/>
      <c r="L1" s="30"/>
      <c r="M1" s="30"/>
      <c r="N1" s="30"/>
      <c r="O1" s="30"/>
      <c r="P1" s="12"/>
    </row>
    <row r="2" spans="1:16" ht="18.45" x14ac:dyDescent="0.45">
      <c r="A2" s="8"/>
      <c r="B2" s="30"/>
      <c r="C2" s="150" t="s">
        <v>73</v>
      </c>
      <c r="D2" s="150"/>
      <c r="E2" s="150"/>
      <c r="F2" s="150"/>
      <c r="G2" s="150"/>
      <c r="H2" s="36"/>
      <c r="I2" s="150" t="s">
        <v>74</v>
      </c>
      <c r="J2" s="150"/>
      <c r="K2" s="150"/>
      <c r="L2" s="150"/>
      <c r="M2" s="150"/>
      <c r="N2" s="30"/>
      <c r="O2" s="37" t="s">
        <v>57</v>
      </c>
      <c r="P2" s="12"/>
    </row>
    <row r="3" spans="1:16" x14ac:dyDescent="0.45">
      <c r="A3" s="8"/>
      <c r="B3" s="31" t="s">
        <v>208</v>
      </c>
      <c r="C3" s="32" t="s">
        <v>58</v>
      </c>
      <c r="D3" s="32" t="s">
        <v>59</v>
      </c>
      <c r="E3" s="32" t="s">
        <v>60</v>
      </c>
      <c r="F3" s="32" t="s">
        <v>61</v>
      </c>
      <c r="G3" s="32" t="s">
        <v>71</v>
      </c>
      <c r="H3" s="36"/>
      <c r="I3" s="32" t="s">
        <v>62</v>
      </c>
      <c r="J3" s="32" t="s">
        <v>63</v>
      </c>
      <c r="K3" s="32" t="s">
        <v>64</v>
      </c>
      <c r="L3" s="32" t="s">
        <v>61</v>
      </c>
      <c r="M3" s="32" t="s">
        <v>72</v>
      </c>
      <c r="N3" s="32"/>
      <c r="O3" s="38" t="s">
        <v>65</v>
      </c>
      <c r="P3" s="21"/>
    </row>
    <row r="4" spans="1:16" x14ac:dyDescent="0.45">
      <c r="A4" s="8"/>
      <c r="B4" s="31" t="s">
        <v>204</v>
      </c>
      <c r="C4" s="31">
        <v>7321.5</v>
      </c>
      <c r="D4" s="31">
        <v>23456.7</v>
      </c>
      <c r="E4" s="31">
        <v>13692</v>
      </c>
      <c r="F4" s="39"/>
      <c r="G4" s="39"/>
      <c r="H4" s="36"/>
      <c r="I4" s="31">
        <v>21193.9</v>
      </c>
      <c r="J4" s="31">
        <v>24379.15</v>
      </c>
      <c r="K4" s="31">
        <v>27564.400000000001</v>
      </c>
      <c r="L4" s="39"/>
      <c r="M4" s="39"/>
      <c r="N4" s="31"/>
      <c r="O4" s="40"/>
      <c r="P4" s="18"/>
    </row>
    <row r="5" spans="1:16" x14ac:dyDescent="0.45">
      <c r="A5" s="8"/>
      <c r="B5" s="31" t="s">
        <v>205</v>
      </c>
      <c r="C5" s="31">
        <v>4245.6000000000004</v>
      </c>
      <c r="D5" s="31">
        <v>2212.35</v>
      </c>
      <c r="E5" s="31">
        <v>6543.5</v>
      </c>
      <c r="F5" s="39"/>
      <c r="G5" s="39"/>
      <c r="H5" s="36"/>
      <c r="I5" s="31">
        <v>4678.8999999999996</v>
      </c>
      <c r="J5" s="31">
        <v>7780.6666666666697</v>
      </c>
      <c r="K5" s="31">
        <v>8929.6166666666704</v>
      </c>
      <c r="L5" s="39"/>
      <c r="M5" s="39"/>
      <c r="N5" s="31"/>
      <c r="O5" s="40"/>
      <c r="P5" s="18"/>
    </row>
    <row r="6" spans="1:16" x14ac:dyDescent="0.45">
      <c r="A6" s="8"/>
      <c r="B6" s="31" t="s">
        <v>206</v>
      </c>
      <c r="C6" s="31">
        <v>1237.45</v>
      </c>
      <c r="D6" s="31">
        <v>23112</v>
      </c>
      <c r="E6" s="31">
        <v>18934</v>
      </c>
      <c r="F6" s="39"/>
      <c r="G6" s="39"/>
      <c r="H6" s="36"/>
      <c r="I6" s="31">
        <v>32124.366666666701</v>
      </c>
      <c r="J6" s="31">
        <v>40972.641666666699</v>
      </c>
      <c r="K6" s="31">
        <v>49820.916666666701</v>
      </c>
      <c r="L6" s="39"/>
      <c r="M6" s="39"/>
      <c r="N6" s="31"/>
      <c r="O6" s="40"/>
      <c r="P6" s="18"/>
    </row>
    <row r="7" spans="1:16" x14ac:dyDescent="0.45">
      <c r="A7" s="8"/>
      <c r="B7" s="31" t="s">
        <v>207</v>
      </c>
      <c r="C7" s="31">
        <v>9834.2999999999993</v>
      </c>
      <c r="D7" s="31">
        <v>21254.95</v>
      </c>
      <c r="E7" s="31">
        <v>15145</v>
      </c>
      <c r="F7" s="39"/>
      <c r="G7" s="39"/>
      <c r="H7" s="36"/>
      <c r="I7" s="31">
        <v>20722.116666666701</v>
      </c>
      <c r="J7" s="31">
        <v>23377.4666666667</v>
      </c>
      <c r="K7" s="31">
        <v>26032.816666666698</v>
      </c>
      <c r="L7" s="39"/>
      <c r="M7" s="39"/>
      <c r="N7" s="31"/>
      <c r="O7" s="40"/>
      <c r="P7" s="18"/>
    </row>
    <row r="8" spans="1:16" x14ac:dyDescent="0.45">
      <c r="A8" s="8"/>
      <c r="B8" s="31"/>
      <c r="C8" s="31"/>
      <c r="D8" s="31"/>
      <c r="E8" s="31" t="s">
        <v>66</v>
      </c>
      <c r="F8" s="39"/>
      <c r="G8" s="39"/>
      <c r="H8" s="36"/>
      <c r="I8" s="33"/>
      <c r="J8" s="33"/>
      <c r="K8" s="31" t="s">
        <v>66</v>
      </c>
      <c r="L8" s="39"/>
      <c r="M8" s="39"/>
      <c r="N8" s="31"/>
      <c r="O8" s="41"/>
      <c r="P8" s="15"/>
    </row>
    <row r="9" spans="1:16" x14ac:dyDescent="0.45">
      <c r="A9" s="8"/>
      <c r="B9" s="31"/>
      <c r="C9" s="31"/>
      <c r="D9" s="31"/>
      <c r="E9" s="31" t="s">
        <v>67</v>
      </c>
      <c r="F9" s="39"/>
      <c r="G9" s="39"/>
      <c r="H9" s="36"/>
      <c r="I9" s="33"/>
      <c r="J9" s="33"/>
      <c r="K9" s="31" t="s">
        <v>67</v>
      </c>
      <c r="L9" s="39"/>
      <c r="M9" s="39"/>
      <c r="N9" s="31"/>
      <c r="O9" s="34"/>
      <c r="P9" s="15"/>
    </row>
    <row r="10" spans="1:16" x14ac:dyDescent="0.45">
      <c r="A10" s="8"/>
      <c r="B10" s="31"/>
      <c r="C10" s="31"/>
      <c r="D10" s="31"/>
      <c r="E10" s="31"/>
      <c r="F10" s="31"/>
      <c r="G10" s="30"/>
      <c r="H10" s="36"/>
      <c r="I10" s="31"/>
      <c r="J10" s="31"/>
      <c r="K10" s="31"/>
      <c r="L10" s="31"/>
      <c r="M10" s="31"/>
      <c r="N10" s="31"/>
      <c r="O10" s="31"/>
      <c r="P10" s="14"/>
    </row>
    <row r="11" spans="1:16" x14ac:dyDescent="0.45">
      <c r="A11" s="8"/>
      <c r="B11" s="31"/>
      <c r="C11" s="31"/>
      <c r="D11" s="31"/>
      <c r="E11" s="31"/>
      <c r="F11" s="31"/>
      <c r="G11" s="31"/>
      <c r="H11" s="36"/>
      <c r="I11" s="31"/>
      <c r="J11" s="31"/>
      <c r="K11" s="31"/>
      <c r="L11" s="31"/>
      <c r="M11" s="31"/>
      <c r="N11" s="31"/>
      <c r="O11" s="31"/>
      <c r="P11" s="14"/>
    </row>
    <row r="12" spans="1:16" x14ac:dyDescent="0.45">
      <c r="A12" s="8"/>
      <c r="B12" s="30"/>
      <c r="C12" s="30"/>
      <c r="D12" s="30"/>
      <c r="E12" s="30"/>
      <c r="F12" s="30"/>
      <c r="G12" s="35"/>
      <c r="H12" s="36"/>
      <c r="I12" s="35"/>
      <c r="J12" s="35"/>
      <c r="K12" s="35"/>
      <c r="L12" s="35"/>
      <c r="M12" s="30"/>
      <c r="N12" s="30"/>
      <c r="O12" s="30"/>
      <c r="P12" s="12"/>
    </row>
    <row r="13" spans="1:16" x14ac:dyDescent="0.45">
      <c r="A13" s="8"/>
      <c r="B13" s="12"/>
      <c r="C13" s="12"/>
      <c r="D13" s="12"/>
      <c r="E13" s="12"/>
      <c r="F13" s="12"/>
      <c r="G13" s="13"/>
      <c r="I13" s="13"/>
      <c r="J13" s="13"/>
      <c r="K13" s="13"/>
      <c r="L13" s="13"/>
      <c r="M13" s="12"/>
      <c r="N13" s="12"/>
      <c r="O13" s="27"/>
      <c r="P13" s="12"/>
    </row>
    <row r="14" spans="1:16" x14ac:dyDescent="0.45">
      <c r="A14" s="8"/>
      <c r="B14" s="8"/>
      <c r="C14" s="8"/>
      <c r="D14" s="8"/>
      <c r="E14" s="8"/>
      <c r="F14" s="8"/>
      <c r="H14" s="8"/>
      <c r="I14" s="8"/>
      <c r="J14" s="8"/>
      <c r="K14" s="8"/>
      <c r="L14" s="8"/>
      <c r="M14" s="8"/>
    </row>
    <row r="15" spans="1:16" x14ac:dyDescent="0.45">
      <c r="A15" s="8"/>
      <c r="B15" s="8"/>
      <c r="C15" s="8"/>
      <c r="D15" s="8"/>
      <c r="E15" s="8"/>
      <c r="F15" s="8"/>
      <c r="H15" s="8"/>
      <c r="I15" s="8"/>
      <c r="J15" s="8"/>
      <c r="K15" s="8"/>
      <c r="L15" s="8"/>
      <c r="M15" s="8"/>
    </row>
  </sheetData>
  <mergeCells count="2">
    <mergeCell ref="C2:G2"/>
    <mergeCell ref="I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>
      <selection activeCell="C19" sqref="C19"/>
    </sheetView>
  </sheetViews>
  <sheetFormatPr defaultColWidth="9" defaultRowHeight="15.9" x14ac:dyDescent="0.45"/>
  <cols>
    <col min="1" max="1" width="1.640625" style="12" customWidth="1"/>
    <col min="2" max="2" width="14.85546875" style="12" customWidth="1"/>
    <col min="3" max="3" width="13.640625" style="12" bestFit="1" customWidth="1"/>
    <col min="4" max="5" width="14.640625" style="12" bestFit="1" customWidth="1"/>
    <col min="6" max="6" width="18.640625" style="12" customWidth="1"/>
    <col min="7" max="7" width="19.5" style="12" customWidth="1"/>
    <col min="8" max="8" width="7.5" customWidth="1"/>
    <col min="9" max="11" width="14.640625" style="12" bestFit="1" customWidth="1"/>
    <col min="12" max="12" width="17.5" style="12" bestFit="1" customWidth="1"/>
    <col min="13" max="13" width="19.85546875" style="12" bestFit="1" customWidth="1"/>
    <col min="14" max="14" width="6.35546875" style="12" customWidth="1"/>
    <col min="15" max="15" width="21.5" style="27" customWidth="1"/>
    <col min="16" max="16" width="11" style="12" bestFit="1" customWidth="1"/>
    <col min="17" max="17" width="10.85546875" style="12" bestFit="1" customWidth="1"/>
    <col min="18" max="16384" width="9" style="12"/>
  </cols>
  <sheetData>
    <row r="1" spans="1:17" x14ac:dyDescent="0.45">
      <c r="B1" s="23"/>
      <c r="C1" s="23"/>
      <c r="D1" s="23"/>
      <c r="E1" s="23"/>
      <c r="F1" s="23"/>
      <c r="G1" s="23"/>
      <c r="I1" s="23"/>
      <c r="J1" s="23"/>
      <c r="K1" s="23"/>
      <c r="L1" s="23"/>
    </row>
    <row r="2" spans="1:17" ht="16.5" customHeight="1" x14ac:dyDescent="0.45">
      <c r="C2" s="151" t="s">
        <v>68</v>
      </c>
      <c r="D2" s="151"/>
      <c r="E2" s="151"/>
      <c r="F2" s="151"/>
      <c r="G2" s="151"/>
      <c r="I2" s="152" t="s">
        <v>69</v>
      </c>
      <c r="J2" s="153"/>
      <c r="K2" s="153"/>
      <c r="L2" s="153"/>
      <c r="M2" s="154"/>
      <c r="O2" s="42" t="s">
        <v>70</v>
      </c>
    </row>
    <row r="3" spans="1:17" x14ac:dyDescent="0.45">
      <c r="B3" s="20" t="s">
        <v>208</v>
      </c>
      <c r="C3" s="22" t="s">
        <v>58</v>
      </c>
      <c r="D3" s="22" t="s">
        <v>59</v>
      </c>
      <c r="E3" s="22" t="s">
        <v>60</v>
      </c>
      <c r="F3" s="22" t="s">
        <v>61</v>
      </c>
      <c r="G3" s="22" t="s">
        <v>71</v>
      </c>
      <c r="I3" s="22" t="s">
        <v>62</v>
      </c>
      <c r="J3" s="22" t="s">
        <v>63</v>
      </c>
      <c r="K3" s="22" t="s">
        <v>64</v>
      </c>
      <c r="L3" s="22" t="s">
        <v>61</v>
      </c>
      <c r="M3" s="22" t="s">
        <v>72</v>
      </c>
      <c r="N3" s="21"/>
      <c r="O3" s="43" t="s">
        <v>79</v>
      </c>
      <c r="P3" s="21"/>
      <c r="Q3" s="21"/>
    </row>
    <row r="4" spans="1:17" x14ac:dyDescent="0.45">
      <c r="B4" s="20" t="s">
        <v>204</v>
      </c>
      <c r="C4" s="19">
        <v>7321.5</v>
      </c>
      <c r="D4" s="19">
        <v>23456.7</v>
      </c>
      <c r="E4" s="19">
        <v>13692</v>
      </c>
      <c r="F4" s="44">
        <f>SUM(C4:E4)</f>
        <v>44470.2</v>
      </c>
      <c r="G4" s="47">
        <f>ROUND(F4,2)</f>
        <v>44470.2</v>
      </c>
      <c r="I4" s="19">
        <v>21193.9</v>
      </c>
      <c r="J4" s="19">
        <v>24379.15</v>
      </c>
      <c r="K4" s="19">
        <v>27564.400000000001</v>
      </c>
      <c r="L4" s="44">
        <f>SUM(I4:K4)</f>
        <v>73137.450000000012</v>
      </c>
      <c r="M4" s="44">
        <f>ROUND(L4,2)</f>
        <v>73137.45</v>
      </c>
      <c r="N4" s="18"/>
      <c r="O4" s="45">
        <f>G4+M4</f>
        <v>117607.65</v>
      </c>
      <c r="P4" s="18"/>
      <c r="Q4" s="18"/>
    </row>
    <row r="5" spans="1:17" x14ac:dyDescent="0.45">
      <c r="A5" s="25"/>
      <c r="B5" s="20" t="s">
        <v>205</v>
      </c>
      <c r="C5" s="19">
        <v>4245.6000000000004</v>
      </c>
      <c r="D5" s="19">
        <v>2212.35</v>
      </c>
      <c r="E5" s="19">
        <v>6543.5</v>
      </c>
      <c r="F5" s="44">
        <f t="shared" ref="F5:F7" si="0">SUM(C5:E5)</f>
        <v>13001.45</v>
      </c>
      <c r="G5" s="47">
        <f t="shared" ref="G5:G7" si="1">ROUND(F5,2)</f>
        <v>13001.45</v>
      </c>
      <c r="I5" s="19">
        <v>4678.8999999999996</v>
      </c>
      <c r="J5" s="19">
        <v>7780.6666666666697</v>
      </c>
      <c r="K5" s="19">
        <v>8929.6166666666704</v>
      </c>
      <c r="L5" s="44">
        <f t="shared" ref="L5:L7" si="2">SUM(I5:K5)</f>
        <v>21389.183333333342</v>
      </c>
      <c r="M5" s="44">
        <f t="shared" ref="M5:M7" si="3">ROUND(L5,2)</f>
        <v>21389.18</v>
      </c>
      <c r="N5" s="18"/>
      <c r="O5" s="45">
        <f t="shared" ref="O5:O8" si="4">G5+M5</f>
        <v>34390.630000000005</v>
      </c>
      <c r="P5" s="18"/>
      <c r="Q5" s="18"/>
    </row>
    <row r="6" spans="1:17" x14ac:dyDescent="0.45">
      <c r="B6" s="20" t="s">
        <v>206</v>
      </c>
      <c r="C6" s="19">
        <v>1237.45</v>
      </c>
      <c r="D6" s="19">
        <v>23112</v>
      </c>
      <c r="E6" s="19">
        <v>18934</v>
      </c>
      <c r="F6" s="44">
        <f t="shared" si="0"/>
        <v>43283.45</v>
      </c>
      <c r="G6" s="47">
        <f t="shared" si="1"/>
        <v>43283.45</v>
      </c>
      <c r="I6" s="19">
        <v>32124.366666666701</v>
      </c>
      <c r="J6" s="19">
        <v>40972.641666666699</v>
      </c>
      <c r="K6" s="19">
        <v>49820.916666666701</v>
      </c>
      <c r="L6" s="44">
        <f t="shared" si="2"/>
        <v>122917.9250000001</v>
      </c>
      <c r="M6" s="44">
        <f t="shared" si="3"/>
        <v>122917.93</v>
      </c>
      <c r="N6" s="18"/>
      <c r="O6" s="45">
        <f t="shared" si="4"/>
        <v>166201.38</v>
      </c>
      <c r="P6" s="18"/>
      <c r="Q6" s="18"/>
    </row>
    <row r="7" spans="1:17" x14ac:dyDescent="0.45">
      <c r="B7" s="20" t="s">
        <v>207</v>
      </c>
      <c r="C7" s="19">
        <v>9834.2999999999993</v>
      </c>
      <c r="D7" s="19">
        <v>21254.95</v>
      </c>
      <c r="E7" s="19">
        <v>15145</v>
      </c>
      <c r="F7" s="44">
        <f t="shared" si="0"/>
        <v>46234.25</v>
      </c>
      <c r="G7" s="47">
        <f t="shared" si="1"/>
        <v>46234.25</v>
      </c>
      <c r="I7" s="19">
        <v>20722.116666666701</v>
      </c>
      <c r="J7" s="19">
        <v>23377.4666666667</v>
      </c>
      <c r="K7" s="19">
        <v>26032.816666666698</v>
      </c>
      <c r="L7" s="44">
        <f t="shared" si="2"/>
        <v>70132.400000000096</v>
      </c>
      <c r="M7" s="44">
        <f t="shared" si="3"/>
        <v>70132.399999999994</v>
      </c>
      <c r="N7" s="18"/>
      <c r="O7" s="45">
        <f t="shared" si="4"/>
        <v>116366.65</v>
      </c>
      <c r="P7" s="18"/>
      <c r="Q7" s="18"/>
    </row>
    <row r="8" spans="1:17" x14ac:dyDescent="0.45">
      <c r="B8" s="15"/>
      <c r="C8" s="15"/>
      <c r="D8" s="15"/>
      <c r="E8" s="16" t="s">
        <v>66</v>
      </c>
      <c r="F8" s="44">
        <f>SUM(F4:F7)</f>
        <v>146989.34999999998</v>
      </c>
      <c r="G8" s="47">
        <f>ROUND(F8,2)</f>
        <v>146989.35</v>
      </c>
      <c r="I8" s="17"/>
      <c r="J8" s="17"/>
      <c r="K8" s="16" t="s">
        <v>66</v>
      </c>
      <c r="L8" s="44">
        <f>SUM(L4:L7)</f>
        <v>287576.95833333355</v>
      </c>
      <c r="M8" s="44">
        <f>ROUND(L8,2)</f>
        <v>287576.96000000002</v>
      </c>
      <c r="N8" s="15"/>
      <c r="O8" s="46">
        <f t="shared" si="4"/>
        <v>434566.31000000006</v>
      </c>
      <c r="P8" s="15"/>
      <c r="Q8" s="15"/>
    </row>
    <row r="9" spans="1:17" x14ac:dyDescent="0.45">
      <c r="B9" s="15"/>
      <c r="C9" s="15"/>
      <c r="D9" s="15"/>
      <c r="E9" s="16" t="s">
        <v>67</v>
      </c>
      <c r="F9" s="44">
        <f>AVERAGE(F4:F7)</f>
        <v>36747.337499999994</v>
      </c>
      <c r="G9" s="47">
        <f>ROUNDDOWN(F9,0)</f>
        <v>36747</v>
      </c>
      <c r="I9" s="17"/>
      <c r="J9" s="17"/>
      <c r="K9" s="16" t="s">
        <v>67</v>
      </c>
      <c r="L9" s="44">
        <f>AVERAGE(L4:L7)</f>
        <v>71894.239583333387</v>
      </c>
      <c r="M9" s="44">
        <f>ROUNDDOWN(L9,2)</f>
        <v>71894.23</v>
      </c>
      <c r="N9" s="15"/>
      <c r="O9" s="29"/>
      <c r="P9" s="15"/>
      <c r="Q9" s="15"/>
    </row>
    <row r="10" spans="1:17" x14ac:dyDescent="0.45">
      <c r="B10" s="15"/>
      <c r="C10" s="15"/>
      <c r="D10" s="15"/>
      <c r="E10" s="24"/>
      <c r="F10" s="24"/>
      <c r="I10" s="15"/>
      <c r="J10" s="15"/>
      <c r="K10" s="15"/>
      <c r="L10" s="15"/>
      <c r="M10" s="14"/>
      <c r="N10" s="14"/>
      <c r="O10" s="28"/>
      <c r="P10" s="14"/>
      <c r="Q10" s="14"/>
    </row>
    <row r="11" spans="1:17" x14ac:dyDescent="0.45">
      <c r="B11" s="14"/>
      <c r="C11" s="14"/>
      <c r="D11" s="14"/>
      <c r="E11" s="14"/>
      <c r="F11" s="14"/>
      <c r="G11" s="15"/>
      <c r="I11" s="15"/>
      <c r="J11" s="15"/>
      <c r="K11" s="15"/>
      <c r="L11" s="15"/>
      <c r="M11" s="14"/>
      <c r="N11" s="14"/>
      <c r="O11" s="28"/>
      <c r="P11" s="14"/>
      <c r="Q11" s="14"/>
    </row>
    <row r="12" spans="1:17" x14ac:dyDescent="0.45">
      <c r="G12" s="13"/>
      <c r="I12" s="13"/>
      <c r="J12" s="13"/>
      <c r="K12" s="13"/>
      <c r="L12" s="13"/>
    </row>
    <row r="13" spans="1:17" x14ac:dyDescent="0.45">
      <c r="G13" s="13"/>
      <c r="I13" s="13"/>
      <c r="J13" s="13"/>
      <c r="K13" s="13"/>
      <c r="L13" s="13"/>
    </row>
  </sheetData>
  <sheetProtection algorithmName="SHA-512" hashValue="A2SnTklN2xP1cYJqHN1mK6AKR0tVm1BsBU7N0Uu5i4CnVU9I+ET0EVibNg4jGzM0Kk9XF4sMRu8o7EA2Ic8Dmg==" saltValue="qklSZGWXKoMeL/rU0HlW1g==" spinCount="100000" sheet="1" objects="1" scenarios="1"/>
  <mergeCells count="2">
    <mergeCell ref="C2:G2"/>
    <mergeCell ref="I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workbookViewId="0">
      <selection activeCell="B18" sqref="B18:B19"/>
    </sheetView>
  </sheetViews>
  <sheetFormatPr defaultColWidth="11.140625" defaultRowHeight="15.9" x14ac:dyDescent="0.45"/>
  <cols>
    <col min="1" max="1" width="25.140625" customWidth="1"/>
    <col min="2" max="3" width="22.35546875" customWidth="1"/>
    <col min="4" max="4" width="23.640625" customWidth="1"/>
    <col min="5" max="5" width="18" customWidth="1"/>
    <col min="6" max="6" width="29.5" customWidth="1"/>
    <col min="7" max="7" width="18" customWidth="1"/>
    <col min="8" max="8" width="7.85546875" customWidth="1"/>
    <col min="9" max="9" width="32.640625" customWidth="1"/>
  </cols>
  <sheetData>
    <row r="1" spans="1:10" x14ac:dyDescent="0.45">
      <c r="A1" s="8"/>
      <c r="B1" s="8"/>
      <c r="C1" s="8"/>
      <c r="D1" s="8"/>
      <c r="E1" s="8"/>
      <c r="F1" s="8"/>
      <c r="G1" s="8"/>
      <c r="H1" s="8"/>
      <c r="I1" s="8"/>
    </row>
    <row r="2" spans="1:10" x14ac:dyDescent="0.45">
      <c r="A2" s="8" t="s">
        <v>80</v>
      </c>
      <c r="B2" s="8" t="s">
        <v>81</v>
      </c>
      <c r="C2" s="8"/>
      <c r="D2" s="8"/>
      <c r="E2" s="8"/>
      <c r="F2" s="8"/>
      <c r="G2" s="8"/>
      <c r="H2" s="8"/>
      <c r="I2" s="8"/>
    </row>
    <row r="3" spans="1:10" x14ac:dyDescent="0.45">
      <c r="A3" s="48">
        <v>131.1</v>
      </c>
      <c r="B3" s="8">
        <v>0.05</v>
      </c>
      <c r="C3" s="8"/>
      <c r="D3" s="8"/>
      <c r="E3" s="8"/>
      <c r="F3" s="8"/>
      <c r="G3" s="8"/>
      <c r="H3" s="8"/>
      <c r="I3" s="8"/>
    </row>
    <row r="4" spans="1:10" x14ac:dyDescent="0.45">
      <c r="A4" s="8"/>
      <c r="B4" s="8"/>
      <c r="C4" s="8"/>
      <c r="D4" s="8"/>
      <c r="E4" s="8"/>
      <c r="F4" s="8"/>
      <c r="G4" s="8"/>
      <c r="H4" s="8"/>
      <c r="I4" s="8"/>
    </row>
    <row r="5" spans="1:10" x14ac:dyDescent="0.45">
      <c r="A5" s="8"/>
      <c r="B5" s="8"/>
      <c r="C5" s="8"/>
      <c r="D5" s="8"/>
      <c r="E5" s="8"/>
      <c r="F5" s="8"/>
      <c r="G5" s="8"/>
      <c r="H5" s="8"/>
      <c r="I5" s="8"/>
    </row>
    <row r="6" spans="1:10" x14ac:dyDescent="0.45">
      <c r="A6" s="9" t="s">
        <v>82</v>
      </c>
      <c r="B6" s="9" t="s">
        <v>83</v>
      </c>
      <c r="C6" s="9" t="s">
        <v>84</v>
      </c>
      <c r="D6" s="9" t="s">
        <v>195</v>
      </c>
      <c r="E6" s="9" t="s">
        <v>85</v>
      </c>
      <c r="F6" s="9" t="s">
        <v>194</v>
      </c>
      <c r="G6" s="8" t="s">
        <v>202</v>
      </c>
      <c r="I6" s="8" t="s">
        <v>86</v>
      </c>
      <c r="J6" s="8"/>
    </row>
    <row r="7" spans="1:10" x14ac:dyDescent="0.45">
      <c r="A7" s="49" t="s">
        <v>87</v>
      </c>
      <c r="B7" s="50">
        <v>120000.34</v>
      </c>
      <c r="C7" s="51"/>
      <c r="D7" s="51"/>
      <c r="E7" s="51"/>
      <c r="F7" s="51"/>
      <c r="G7" s="54"/>
      <c r="I7" s="8"/>
      <c r="J7" s="8"/>
    </row>
    <row r="8" spans="1:10" x14ac:dyDescent="0.45">
      <c r="A8" s="8" t="s">
        <v>88</v>
      </c>
      <c r="B8" s="52">
        <v>210921.45</v>
      </c>
      <c r="C8" s="53"/>
      <c r="D8" s="53"/>
      <c r="E8" s="53"/>
      <c r="F8" s="53"/>
      <c r="G8" s="54"/>
      <c r="I8" s="48" t="s">
        <v>91</v>
      </c>
      <c r="J8" s="54"/>
    </row>
    <row r="9" spans="1:10" x14ac:dyDescent="0.45">
      <c r="A9" s="8" t="s">
        <v>89</v>
      </c>
      <c r="B9" s="52">
        <v>100000</v>
      </c>
      <c r="C9" s="53"/>
      <c r="D9" s="53"/>
      <c r="E9" s="53"/>
      <c r="F9" s="53"/>
      <c r="G9" s="54"/>
      <c r="I9" s="48" t="s">
        <v>93</v>
      </c>
      <c r="J9" s="54"/>
    </row>
    <row r="10" spans="1:10" x14ac:dyDescent="0.45">
      <c r="A10" s="8" t="s">
        <v>90</v>
      </c>
      <c r="B10" s="52">
        <v>87401</v>
      </c>
      <c r="C10" s="53"/>
      <c r="D10" s="53"/>
      <c r="E10" s="53"/>
      <c r="F10" s="53"/>
      <c r="G10" s="54"/>
      <c r="I10" s="48" t="s">
        <v>106</v>
      </c>
      <c r="J10" s="54"/>
    </row>
    <row r="11" spans="1:10" x14ac:dyDescent="0.45">
      <c r="A11" s="8" t="s">
        <v>92</v>
      </c>
      <c r="B11" s="52">
        <v>310983.62</v>
      </c>
      <c r="C11" s="53"/>
      <c r="D11" s="53"/>
      <c r="E11" s="53"/>
      <c r="F11" s="53"/>
      <c r="G11" s="54"/>
    </row>
    <row r="12" spans="1:10" x14ac:dyDescent="0.45">
      <c r="A12" s="8" t="s">
        <v>94</v>
      </c>
      <c r="B12" s="52">
        <v>43902</v>
      </c>
      <c r="C12" s="53"/>
      <c r="D12" s="53"/>
      <c r="E12" s="53"/>
      <c r="F12" s="53"/>
      <c r="G12" s="54"/>
    </row>
    <row r="13" spans="1:10" x14ac:dyDescent="0.45">
      <c r="A13" s="8" t="s">
        <v>95</v>
      </c>
      <c r="B13" s="52">
        <v>121021.55</v>
      </c>
      <c r="C13" s="53"/>
      <c r="D13" s="53"/>
      <c r="E13" s="53"/>
      <c r="F13" s="53"/>
      <c r="G13" s="54"/>
      <c r="H13" s="8"/>
      <c r="I13" s="8"/>
    </row>
    <row r="14" spans="1:10" x14ac:dyDescent="0.45">
      <c r="A14" s="8" t="s">
        <v>96</v>
      </c>
      <c r="B14" s="52">
        <v>908.5</v>
      </c>
      <c r="C14" s="53"/>
      <c r="D14" s="53"/>
      <c r="E14" s="53"/>
      <c r="F14" s="53"/>
      <c r="G14" s="54"/>
      <c r="H14" s="8"/>
      <c r="I14" s="8"/>
    </row>
    <row r="15" spans="1:10" x14ac:dyDescent="0.45">
      <c r="A15" s="8" t="s">
        <v>97</v>
      </c>
      <c r="B15" s="52">
        <v>0</v>
      </c>
      <c r="C15" s="53"/>
      <c r="D15" s="53"/>
      <c r="E15" s="53"/>
      <c r="F15" s="53"/>
      <c r="G15" s="54"/>
      <c r="H15" s="8"/>
      <c r="I15" s="8"/>
    </row>
    <row r="16" spans="1:10" x14ac:dyDescent="0.45">
      <c r="A16" s="8" t="s">
        <v>98</v>
      </c>
      <c r="B16" s="52">
        <v>359832.4</v>
      </c>
      <c r="C16" s="53"/>
      <c r="D16" s="53"/>
      <c r="E16" s="53"/>
      <c r="F16" s="53"/>
      <c r="G16" s="54"/>
      <c r="H16" s="8"/>
      <c r="I16" s="138" t="s">
        <v>209</v>
      </c>
    </row>
    <row r="17" spans="1:9" x14ac:dyDescent="0.45">
      <c r="A17" s="8" t="s">
        <v>99</v>
      </c>
      <c r="B17" s="52">
        <v>502983</v>
      </c>
      <c r="C17" s="53"/>
      <c r="D17" s="53"/>
      <c r="E17" s="53"/>
      <c r="F17" s="53"/>
      <c r="G17" s="54"/>
      <c r="H17" s="8"/>
      <c r="I17" s="8" t="b">
        <v>1</v>
      </c>
    </row>
    <row r="18" spans="1:9" x14ac:dyDescent="0.45">
      <c r="A18" s="48" t="s">
        <v>100</v>
      </c>
      <c r="B18" s="54"/>
      <c r="C18" s="54"/>
      <c r="D18" s="54"/>
      <c r="E18" s="54"/>
      <c r="F18" s="54"/>
      <c r="G18" s="8"/>
      <c r="H18" s="8"/>
      <c r="I18" s="8" t="b">
        <v>0</v>
      </c>
    </row>
    <row r="19" spans="1:9" x14ac:dyDescent="0.45">
      <c r="A19" s="48" t="s">
        <v>107</v>
      </c>
      <c r="B19" s="54"/>
      <c r="C19" s="54"/>
      <c r="D19" s="54"/>
      <c r="E19" s="54"/>
      <c r="F19" s="54"/>
      <c r="G19" s="8"/>
      <c r="H19" s="8"/>
      <c r="I19" s="8"/>
    </row>
    <row r="20" spans="1:9" x14ac:dyDescent="0.4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4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4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4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5">
      <c r="A27" s="8"/>
      <c r="B27" s="8"/>
      <c r="C27" s="8"/>
      <c r="D27" s="8"/>
      <c r="E27" s="8"/>
      <c r="F27" s="8"/>
      <c r="G27" s="8"/>
      <c r="H27" s="8"/>
      <c r="I27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workbookViewId="0">
      <selection activeCell="B7" sqref="B7"/>
    </sheetView>
  </sheetViews>
  <sheetFormatPr defaultColWidth="11.140625" defaultRowHeight="15.9" x14ac:dyDescent="0.45"/>
  <cols>
    <col min="1" max="1" width="25.140625" customWidth="1"/>
    <col min="2" max="3" width="22.35546875" customWidth="1"/>
    <col min="4" max="5" width="20.85546875" customWidth="1"/>
    <col min="6" max="6" width="25.640625" customWidth="1"/>
    <col min="7" max="7" width="17.5" customWidth="1"/>
    <col min="8" max="8" width="9.35546875" customWidth="1"/>
    <col min="9" max="9" width="32.35546875" customWidth="1"/>
    <col min="10" max="10" width="18.85546875" customWidth="1"/>
  </cols>
  <sheetData>
    <row r="1" spans="1:10" x14ac:dyDescent="0.45">
      <c r="A1" s="8"/>
      <c r="B1" s="8"/>
      <c r="C1" s="8"/>
      <c r="D1" s="8"/>
      <c r="E1" s="8"/>
      <c r="F1" s="8"/>
      <c r="G1" s="8"/>
      <c r="H1" s="8"/>
      <c r="I1" s="8"/>
    </row>
    <row r="2" spans="1:10" x14ac:dyDescent="0.45">
      <c r="A2" s="10" t="s">
        <v>101</v>
      </c>
      <c r="B2" s="10" t="s">
        <v>102</v>
      </c>
      <c r="C2" s="129"/>
      <c r="D2" s="8"/>
      <c r="E2" s="8"/>
      <c r="F2" s="8"/>
      <c r="G2" s="8"/>
      <c r="H2" s="8"/>
      <c r="I2" s="8"/>
    </row>
    <row r="3" spans="1:10" x14ac:dyDescent="0.45">
      <c r="A3" s="55">
        <v>131.1</v>
      </c>
      <c r="B3" s="56">
        <v>0.05</v>
      </c>
      <c r="C3" s="130"/>
      <c r="D3" s="8"/>
      <c r="E3" s="8"/>
      <c r="F3" s="8"/>
      <c r="G3" s="8"/>
      <c r="H3" s="8"/>
      <c r="I3" s="8"/>
    </row>
    <row r="4" spans="1:10" x14ac:dyDescent="0.45">
      <c r="A4" s="8"/>
      <c r="B4" s="8"/>
      <c r="C4" s="8"/>
      <c r="D4" s="8"/>
      <c r="E4" s="8"/>
      <c r="F4" s="8"/>
      <c r="G4" s="8"/>
      <c r="H4" s="8"/>
      <c r="I4" s="8"/>
    </row>
    <row r="5" spans="1:10" x14ac:dyDescent="0.45">
      <c r="A5" s="8"/>
      <c r="B5" s="8"/>
      <c r="C5" s="8"/>
      <c r="D5" s="8"/>
      <c r="E5" s="8"/>
      <c r="F5" s="8"/>
      <c r="G5" s="8"/>
      <c r="H5" s="8"/>
      <c r="I5" s="8"/>
    </row>
    <row r="6" spans="1:10" x14ac:dyDescent="0.45">
      <c r="A6" s="11" t="s">
        <v>82</v>
      </c>
      <c r="B6" s="11" t="s">
        <v>103</v>
      </c>
      <c r="C6" s="11" t="s">
        <v>104</v>
      </c>
      <c r="D6" s="11" t="s">
        <v>192</v>
      </c>
      <c r="E6" s="11" t="s">
        <v>105</v>
      </c>
      <c r="F6" s="11" t="s">
        <v>193</v>
      </c>
      <c r="G6" s="81" t="s">
        <v>203</v>
      </c>
      <c r="I6" s="155" t="s">
        <v>86</v>
      </c>
      <c r="J6" s="156"/>
    </row>
    <row r="7" spans="1:10" x14ac:dyDescent="0.45">
      <c r="A7" s="140" t="s">
        <v>87</v>
      </c>
      <c r="B7" s="60">
        <v>120000.34</v>
      </c>
      <c r="C7" s="64">
        <f>PRODUCT(B7,$A$3)</f>
        <v>15732044.573999999</v>
      </c>
      <c r="D7" s="63">
        <f>ROUNDUP(C7,2)</f>
        <v>15732044.58</v>
      </c>
      <c r="E7" s="63">
        <f>PRODUCT(D7,$B$3)</f>
        <v>786602.22900000005</v>
      </c>
      <c r="F7" s="63">
        <f>ROUNDDOWN(E7,2)</f>
        <v>786602.22</v>
      </c>
      <c r="G7" s="133" t="b">
        <v>1</v>
      </c>
      <c r="I7" s="157"/>
      <c r="J7" s="158"/>
    </row>
    <row r="8" spans="1:10" x14ac:dyDescent="0.45">
      <c r="A8" s="141" t="s">
        <v>88</v>
      </c>
      <c r="B8" s="61">
        <v>210921.45</v>
      </c>
      <c r="C8" s="64">
        <f t="shared" ref="C8:C17" si="0">PRODUCT(B8,$A$3)</f>
        <v>27651802.094999999</v>
      </c>
      <c r="D8" s="63">
        <f t="shared" ref="D8:D17" si="1">ROUNDUP(C8,2)</f>
        <v>27651802.100000001</v>
      </c>
      <c r="E8" s="63">
        <f t="shared" ref="E8:E17" si="2">PRODUCT(D8,$B$3)</f>
        <v>1382590.1050000002</v>
      </c>
      <c r="F8" s="63">
        <f t="shared" ref="F8:F17" si="3">ROUNDDOWN(E8,2)</f>
        <v>1382590.1</v>
      </c>
      <c r="G8" s="133" t="b">
        <v>1</v>
      </c>
      <c r="I8" s="57" t="s">
        <v>91</v>
      </c>
      <c r="J8" s="64">
        <f>D19-F19</f>
        <v>231398863.5</v>
      </c>
    </row>
    <row r="9" spans="1:10" x14ac:dyDescent="0.45">
      <c r="A9" s="141" t="s">
        <v>89</v>
      </c>
      <c r="B9" s="61">
        <v>100000</v>
      </c>
      <c r="C9" s="64">
        <f t="shared" si="0"/>
        <v>13110000</v>
      </c>
      <c r="D9" s="63">
        <f t="shared" si="1"/>
        <v>13110000</v>
      </c>
      <c r="E9" s="63">
        <f t="shared" si="2"/>
        <v>655500</v>
      </c>
      <c r="F9" s="63">
        <f t="shared" si="3"/>
        <v>655500</v>
      </c>
      <c r="G9" s="133" t="b">
        <v>1</v>
      </c>
      <c r="I9" s="57" t="s">
        <v>93</v>
      </c>
      <c r="J9" s="64">
        <f>AVERAGE(F7:F17)</f>
        <v>1107171.5918181818</v>
      </c>
    </row>
    <row r="10" spans="1:10" x14ac:dyDescent="0.45">
      <c r="A10" s="141" t="s">
        <v>90</v>
      </c>
      <c r="B10" s="61">
        <v>87401</v>
      </c>
      <c r="C10" s="64">
        <f t="shared" si="0"/>
        <v>11458271.1</v>
      </c>
      <c r="D10" s="63">
        <f t="shared" si="1"/>
        <v>11458271.1</v>
      </c>
      <c r="E10" s="63">
        <f t="shared" si="2"/>
        <v>572913.55500000005</v>
      </c>
      <c r="F10" s="63">
        <f t="shared" si="3"/>
        <v>572913.55000000005</v>
      </c>
      <c r="G10" s="133" t="b">
        <v>1</v>
      </c>
      <c r="I10" s="57" t="s">
        <v>106</v>
      </c>
      <c r="J10" s="139">
        <f>ROUND(J9,3)</f>
        <v>1107171.5919999999</v>
      </c>
    </row>
    <row r="11" spans="1:10" x14ac:dyDescent="0.45">
      <c r="A11" s="141" t="s">
        <v>92</v>
      </c>
      <c r="B11" s="61">
        <v>310983.62</v>
      </c>
      <c r="C11" s="64">
        <f t="shared" si="0"/>
        <v>40769952.581999995</v>
      </c>
      <c r="D11" s="63">
        <f>ROUNDUP(C11,2)</f>
        <v>40769952.589999996</v>
      </c>
      <c r="E11" s="63">
        <f t="shared" si="2"/>
        <v>2038497.6294999998</v>
      </c>
      <c r="F11" s="63">
        <f t="shared" si="3"/>
        <v>2038497.62</v>
      </c>
      <c r="G11" s="133" t="b">
        <v>1</v>
      </c>
    </row>
    <row r="12" spans="1:10" x14ac:dyDescent="0.45">
      <c r="A12" s="141" t="s">
        <v>94</v>
      </c>
      <c r="B12" s="61">
        <v>43902</v>
      </c>
      <c r="C12" s="64">
        <f t="shared" si="0"/>
        <v>5755552.2000000002</v>
      </c>
      <c r="D12" s="63">
        <f t="shared" si="1"/>
        <v>5755552.2000000002</v>
      </c>
      <c r="E12" s="63">
        <f t="shared" si="2"/>
        <v>287777.61000000004</v>
      </c>
      <c r="F12" s="63">
        <f t="shared" si="3"/>
        <v>287777.61</v>
      </c>
      <c r="G12" s="133" t="b">
        <v>1</v>
      </c>
    </row>
    <row r="13" spans="1:10" x14ac:dyDescent="0.45">
      <c r="A13" s="141" t="s">
        <v>95</v>
      </c>
      <c r="B13" s="61">
        <v>121021.55</v>
      </c>
      <c r="C13" s="64">
        <f t="shared" si="0"/>
        <v>15865925.205</v>
      </c>
      <c r="D13" s="63">
        <f t="shared" si="1"/>
        <v>15865925.209999999</v>
      </c>
      <c r="E13" s="63">
        <f t="shared" si="2"/>
        <v>793296.26049999997</v>
      </c>
      <c r="F13" s="63">
        <f t="shared" si="3"/>
        <v>793296.26</v>
      </c>
      <c r="G13" s="133" t="b">
        <v>1</v>
      </c>
      <c r="H13" s="8"/>
    </row>
    <row r="14" spans="1:10" x14ac:dyDescent="0.45">
      <c r="A14" s="141" t="s">
        <v>96</v>
      </c>
      <c r="B14" s="61">
        <v>908.5</v>
      </c>
      <c r="C14" s="64">
        <f t="shared" si="0"/>
        <v>119104.34999999999</v>
      </c>
      <c r="D14" s="63">
        <f t="shared" si="1"/>
        <v>119104.35</v>
      </c>
      <c r="E14" s="63">
        <f t="shared" si="2"/>
        <v>5955.2175000000007</v>
      </c>
      <c r="F14" s="63">
        <f t="shared" si="3"/>
        <v>5955.21</v>
      </c>
      <c r="G14" s="133" t="b">
        <v>1</v>
      </c>
      <c r="H14" s="8"/>
    </row>
    <row r="15" spans="1:10" x14ac:dyDescent="0.45">
      <c r="A15" s="141" t="s">
        <v>97</v>
      </c>
      <c r="B15" s="61">
        <v>0</v>
      </c>
      <c r="C15" s="64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133" t="b">
        <v>0</v>
      </c>
      <c r="H15" s="8"/>
      <c r="I15" s="8"/>
    </row>
    <row r="16" spans="1:10" x14ac:dyDescent="0.45">
      <c r="A16" s="141" t="s">
        <v>98</v>
      </c>
      <c r="B16" s="61">
        <v>359832.4</v>
      </c>
      <c r="C16" s="64">
        <f t="shared" si="0"/>
        <v>47174027.640000001</v>
      </c>
      <c r="D16" s="63">
        <f t="shared" si="1"/>
        <v>47174027.640000001</v>
      </c>
      <c r="E16" s="63">
        <f t="shared" si="2"/>
        <v>2358701.3820000002</v>
      </c>
      <c r="F16" s="63">
        <f t="shared" si="3"/>
        <v>2358701.38</v>
      </c>
      <c r="G16" s="133" t="b">
        <v>1</v>
      </c>
      <c r="H16" s="8"/>
      <c r="I16" s="138" t="s">
        <v>209</v>
      </c>
    </row>
    <row r="17" spans="1:9" x14ac:dyDescent="0.45">
      <c r="A17" s="141" t="s">
        <v>99</v>
      </c>
      <c r="B17" s="61">
        <v>502983</v>
      </c>
      <c r="C17" s="64">
        <f t="shared" si="0"/>
        <v>65941071.299999997</v>
      </c>
      <c r="D17" s="63">
        <f t="shared" si="1"/>
        <v>65941071.299999997</v>
      </c>
      <c r="E17" s="63">
        <f t="shared" si="2"/>
        <v>3297053.5649999999</v>
      </c>
      <c r="F17" s="63">
        <f t="shared" si="3"/>
        <v>3297053.56</v>
      </c>
      <c r="G17" s="133" t="b">
        <v>1</v>
      </c>
      <c r="H17" s="8"/>
      <c r="I17" s="8" t="b">
        <v>1</v>
      </c>
    </row>
    <row r="18" spans="1:9" x14ac:dyDescent="0.45">
      <c r="A18" s="58" t="s">
        <v>100</v>
      </c>
      <c r="B18" s="62">
        <f>SUM(B7:B17)</f>
        <v>1857953.86</v>
      </c>
      <c r="C18" s="64">
        <f t="shared" ref="C18:F18" si="4">SUM(C7:C17)</f>
        <v>243577751.046</v>
      </c>
      <c r="D18" s="64">
        <f t="shared" si="4"/>
        <v>243577751.06999999</v>
      </c>
      <c r="E18" s="64">
        <f t="shared" si="4"/>
        <v>12178887.5535</v>
      </c>
      <c r="F18" s="64">
        <f t="shared" si="4"/>
        <v>12178887.51</v>
      </c>
      <c r="G18" s="8"/>
      <c r="H18" s="8"/>
      <c r="I18" s="8" t="b">
        <v>0</v>
      </c>
    </row>
    <row r="19" spans="1:9" x14ac:dyDescent="0.45">
      <c r="A19" s="58" t="s">
        <v>107</v>
      </c>
      <c r="B19" s="62">
        <f>MROUND(B18,0.5)</f>
        <v>1857954</v>
      </c>
      <c r="C19" s="64">
        <f t="shared" ref="C19:F19" si="5">MROUND(C18,0.5)</f>
        <v>243577751</v>
      </c>
      <c r="D19" s="64">
        <f t="shared" si="5"/>
        <v>243577751</v>
      </c>
      <c r="E19" s="64">
        <f t="shared" si="5"/>
        <v>12178887.5</v>
      </c>
      <c r="F19" s="64">
        <f t="shared" si="5"/>
        <v>12178887.5</v>
      </c>
      <c r="G19" s="8"/>
      <c r="H19" s="8"/>
      <c r="I19" s="8"/>
    </row>
    <row r="20" spans="1:9" x14ac:dyDescent="0.45">
      <c r="A20" s="8"/>
      <c r="B20" s="8"/>
      <c r="C20" s="8"/>
      <c r="D20" s="59"/>
      <c r="E20" s="59"/>
      <c r="F20" s="59"/>
      <c r="G20" s="8"/>
      <c r="H20" s="8"/>
      <c r="I20" s="8"/>
    </row>
    <row r="21" spans="1:9" x14ac:dyDescent="0.4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4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4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45">
      <c r="A27" s="8"/>
      <c r="B27" s="8"/>
      <c r="C27" s="8"/>
      <c r="D27" s="8"/>
      <c r="E27" s="8"/>
      <c r="F27" s="8"/>
      <c r="G27" s="8"/>
      <c r="H27" s="8"/>
      <c r="I27" s="8"/>
    </row>
  </sheetData>
  <sheetProtection algorithmName="SHA-512" hashValue="Sl+zKbtphbbb+eZzQyn3On95TVmRmIhiYx0SIeZu0NGqmqfRE3iSX2jnFLfoXdGPCNPYB0X+oEMgYG5O1vjD/A==" saltValue="HBrp5JurDf0GCmgRQyZfUw==" spinCount="100000" sheet="1" objects="1" scenarios="1"/>
  <mergeCells count="1">
    <mergeCell ref="I6:J7"/>
  </mergeCells>
  <dataValidations count="1">
    <dataValidation type="list" allowBlank="1" showInputMessage="1" showErrorMessage="1" sqref="G7:G17" xr:uid="{00000000-0002-0000-0C00-000000000000}">
      <formula1>$I$17:$I$18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"/>
  <sheetViews>
    <sheetView workbookViewId="0">
      <selection activeCell="I16" sqref="I16"/>
    </sheetView>
  </sheetViews>
  <sheetFormatPr defaultColWidth="11.140625" defaultRowHeight="15.9" x14ac:dyDescent="0.45"/>
  <cols>
    <col min="1" max="1" width="27.35546875" customWidth="1"/>
    <col min="11" max="11" width="14.85546875" customWidth="1"/>
  </cols>
  <sheetData>
    <row r="1" spans="1:12" x14ac:dyDescent="0.45">
      <c r="A1" s="69"/>
      <c r="B1" s="159" t="s">
        <v>125</v>
      </c>
      <c r="C1" s="159"/>
      <c r="D1" s="159"/>
      <c r="E1" s="159"/>
      <c r="F1" s="159"/>
      <c r="G1" s="159"/>
      <c r="H1" s="70"/>
      <c r="I1" s="70"/>
      <c r="J1" s="69"/>
      <c r="K1" s="69"/>
      <c r="L1" s="69"/>
    </row>
    <row r="2" spans="1:12" x14ac:dyDescent="0.45">
      <c r="A2" s="69"/>
      <c r="B2" s="159" t="s">
        <v>109</v>
      </c>
      <c r="C2" s="159"/>
      <c r="D2" s="159"/>
      <c r="E2" s="159" t="s">
        <v>110</v>
      </c>
      <c r="F2" s="159"/>
      <c r="G2" s="159"/>
      <c r="H2" s="69"/>
      <c r="I2" s="72" t="s">
        <v>115</v>
      </c>
      <c r="J2" s="69"/>
      <c r="K2" s="70" t="s">
        <v>111</v>
      </c>
      <c r="L2" s="70"/>
    </row>
    <row r="3" spans="1:12" x14ac:dyDescent="0.45">
      <c r="A3" s="69"/>
      <c r="B3" s="71" t="s">
        <v>112</v>
      </c>
      <c r="C3" s="71" t="s">
        <v>113</v>
      </c>
      <c r="D3" s="71" t="s">
        <v>126</v>
      </c>
      <c r="E3" s="71" t="s">
        <v>112</v>
      </c>
      <c r="F3" s="71" t="s">
        <v>113</v>
      </c>
      <c r="G3" s="71" t="s">
        <v>126</v>
      </c>
      <c r="H3" s="71"/>
      <c r="J3" s="69"/>
      <c r="K3" s="70"/>
      <c r="L3" s="70"/>
    </row>
    <row r="4" spans="1:12" x14ac:dyDescent="0.45">
      <c r="A4" s="73" t="s">
        <v>116</v>
      </c>
      <c r="B4" s="69"/>
      <c r="C4" s="69"/>
      <c r="D4" s="74"/>
      <c r="E4" s="69"/>
      <c r="F4" s="69"/>
      <c r="G4" s="74"/>
      <c r="H4" s="69"/>
      <c r="I4" s="74"/>
      <c r="J4" s="69"/>
      <c r="K4" s="69" t="s">
        <v>117</v>
      </c>
      <c r="L4" s="74"/>
    </row>
    <row r="5" spans="1:12" x14ac:dyDescent="0.45">
      <c r="A5" s="73" t="s">
        <v>118</v>
      </c>
      <c r="B5" s="69"/>
      <c r="C5" s="69"/>
      <c r="D5" s="74"/>
      <c r="E5" s="69"/>
      <c r="F5" s="69"/>
      <c r="G5" s="74"/>
      <c r="H5" s="69"/>
      <c r="I5" s="74"/>
      <c r="J5" s="69"/>
      <c r="K5" s="69" t="s">
        <v>119</v>
      </c>
      <c r="L5" s="74"/>
    </row>
    <row r="6" spans="1:12" x14ac:dyDescent="0.45">
      <c r="A6" s="73" t="s">
        <v>120</v>
      </c>
      <c r="B6" s="69"/>
      <c r="C6" s="69"/>
      <c r="D6" s="74"/>
      <c r="E6" s="69"/>
      <c r="F6" s="69"/>
      <c r="G6" s="74"/>
      <c r="H6" s="69"/>
      <c r="I6" s="74"/>
      <c r="J6" s="69"/>
      <c r="K6" s="69" t="e">
        <f>AVG (Week)</f>
        <v>#NAME?</v>
      </c>
      <c r="L6" s="74"/>
    </row>
    <row r="7" spans="1:12" x14ac:dyDescent="0.45">
      <c r="A7" s="73" t="s">
        <v>122</v>
      </c>
      <c r="B7" s="69"/>
      <c r="C7" s="69"/>
      <c r="D7" s="74"/>
      <c r="E7" s="69"/>
      <c r="F7" s="69"/>
      <c r="G7" s="74"/>
      <c r="H7" s="69"/>
      <c r="I7" s="74"/>
      <c r="J7" s="69"/>
      <c r="K7" s="69"/>
      <c r="L7" s="69"/>
    </row>
    <row r="8" spans="1:12" x14ac:dyDescent="0.45">
      <c r="A8" s="73" t="s">
        <v>123</v>
      </c>
      <c r="B8" s="69"/>
      <c r="C8" s="69"/>
      <c r="D8" s="74"/>
      <c r="E8" s="69"/>
      <c r="F8" s="69"/>
      <c r="G8" s="74"/>
      <c r="H8" s="69"/>
      <c r="I8" s="74"/>
      <c r="J8" s="69"/>
      <c r="K8" s="69"/>
      <c r="L8" s="69"/>
    </row>
    <row r="9" spans="1:12" x14ac:dyDescent="0.45">
      <c r="A9" s="73" t="s">
        <v>124</v>
      </c>
      <c r="B9" s="69"/>
      <c r="C9" s="69"/>
      <c r="D9" s="74"/>
      <c r="E9" s="69"/>
      <c r="F9" s="69"/>
      <c r="G9" s="74"/>
      <c r="H9" s="69"/>
      <c r="I9" s="74"/>
      <c r="J9" s="69"/>
      <c r="K9" s="69"/>
      <c r="L9" s="69"/>
    </row>
    <row r="10" spans="1:12" x14ac:dyDescent="0.45">
      <c r="A10" s="73" t="s">
        <v>61</v>
      </c>
      <c r="B10" s="69"/>
      <c r="C10" s="69"/>
      <c r="D10" s="74"/>
      <c r="E10" s="69"/>
      <c r="F10" s="69"/>
      <c r="G10" s="74"/>
      <c r="H10" s="69"/>
      <c r="I10" s="74"/>
      <c r="J10" s="69"/>
      <c r="K10" s="69"/>
      <c r="L10" s="69"/>
    </row>
    <row r="11" spans="1:12" x14ac:dyDescent="0.4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</row>
  </sheetData>
  <mergeCells count="3">
    <mergeCell ref="B1:G1"/>
    <mergeCell ref="B2:D2"/>
    <mergeCell ref="E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4"/>
  <sheetViews>
    <sheetView workbookViewId="0">
      <selection activeCell="D23" sqref="D23"/>
    </sheetView>
  </sheetViews>
  <sheetFormatPr defaultColWidth="11.140625" defaultRowHeight="15.9" x14ac:dyDescent="0.45"/>
  <cols>
    <col min="1" max="1" width="27.35546875" customWidth="1"/>
    <col min="2" max="2" width="11.5" bestFit="1" customWidth="1"/>
    <col min="3" max="3" width="12.640625" bestFit="1" customWidth="1"/>
    <col min="11" max="11" width="14.85546875" customWidth="1"/>
  </cols>
  <sheetData>
    <row r="1" spans="1:12" x14ac:dyDescent="0.45">
      <c r="A1" s="8"/>
      <c r="B1" s="160" t="s">
        <v>108</v>
      </c>
      <c r="C1" s="161"/>
      <c r="D1" s="161"/>
      <c r="E1" s="161"/>
      <c r="F1" s="161"/>
      <c r="G1" s="162"/>
      <c r="H1" s="65"/>
      <c r="I1" s="65"/>
      <c r="J1" s="8"/>
      <c r="K1" s="8"/>
      <c r="L1" s="8"/>
    </row>
    <row r="2" spans="1:12" x14ac:dyDescent="0.45">
      <c r="A2" s="8"/>
      <c r="B2" s="163" t="s">
        <v>109</v>
      </c>
      <c r="C2" s="163"/>
      <c r="D2" s="163"/>
      <c r="E2" s="163" t="s">
        <v>110</v>
      </c>
      <c r="F2" s="163"/>
      <c r="G2" s="163"/>
      <c r="H2" s="66"/>
      <c r="I2" s="165" t="s">
        <v>115</v>
      </c>
      <c r="J2" s="8"/>
      <c r="K2" s="164" t="s">
        <v>111</v>
      </c>
      <c r="L2" s="164"/>
    </row>
    <row r="3" spans="1:12" x14ac:dyDescent="0.45">
      <c r="A3" s="8"/>
      <c r="B3" s="10" t="s">
        <v>112</v>
      </c>
      <c r="C3" s="10" t="s">
        <v>113</v>
      </c>
      <c r="D3" s="10" t="s">
        <v>114</v>
      </c>
      <c r="E3" s="10" t="s">
        <v>112</v>
      </c>
      <c r="F3" s="10" t="s">
        <v>113</v>
      </c>
      <c r="G3" s="10" t="s">
        <v>114</v>
      </c>
      <c r="H3" s="67"/>
      <c r="I3" s="166"/>
      <c r="J3" s="8"/>
      <c r="K3" s="164"/>
      <c r="L3" s="164"/>
    </row>
    <row r="4" spans="1:12" x14ac:dyDescent="0.45">
      <c r="A4" s="68" t="s">
        <v>116</v>
      </c>
      <c r="B4" s="76">
        <v>0.34375</v>
      </c>
      <c r="C4" s="76">
        <v>0.41666666666666669</v>
      </c>
      <c r="D4" s="77">
        <f>C4-B4</f>
        <v>7.2916666666666685E-2</v>
      </c>
      <c r="E4" s="76">
        <v>0.34375</v>
      </c>
      <c r="F4" s="76">
        <v>0.41666666666666669</v>
      </c>
      <c r="G4" s="77">
        <f>F4-E4</f>
        <v>7.2916666666666685E-2</v>
      </c>
      <c r="H4" s="8"/>
      <c r="I4" s="77">
        <f>D4+G4</f>
        <v>0.14583333333333337</v>
      </c>
      <c r="J4" s="8"/>
      <c r="K4" s="26" t="s">
        <v>117</v>
      </c>
      <c r="L4" s="77">
        <f>AVERAGE(D4:D9)</f>
        <v>4.8611111111111112E-2</v>
      </c>
    </row>
    <row r="5" spans="1:12" x14ac:dyDescent="0.45">
      <c r="A5" s="68" t="s">
        <v>118</v>
      </c>
      <c r="B5" s="76"/>
      <c r="C5" s="76"/>
      <c r="D5" s="77">
        <f t="shared" ref="D5:D9" si="0">C5-B5</f>
        <v>0</v>
      </c>
      <c r="E5" s="76">
        <v>0.42708333333333331</v>
      </c>
      <c r="F5" s="76">
        <v>0.5</v>
      </c>
      <c r="G5" s="77">
        <f t="shared" ref="G5:G9" si="1">F5-E5</f>
        <v>7.2916666666666685E-2</v>
      </c>
      <c r="H5" s="8"/>
      <c r="I5" s="77">
        <f t="shared" ref="I5:I9" si="2">D5+G5</f>
        <v>7.2916666666666685E-2</v>
      </c>
      <c r="J5" s="8"/>
      <c r="K5" s="26" t="s">
        <v>119</v>
      </c>
      <c r="L5" s="77">
        <f>AVERAGE(G4:G9)</f>
        <v>6.7708333333333356E-2</v>
      </c>
    </row>
    <row r="6" spans="1:12" x14ac:dyDescent="0.45">
      <c r="A6" s="68" t="s">
        <v>120</v>
      </c>
      <c r="B6" s="76">
        <v>0.55208333333333337</v>
      </c>
      <c r="C6" s="76">
        <v>0.625</v>
      </c>
      <c r="D6" s="77">
        <f t="shared" si="0"/>
        <v>7.291666666666663E-2</v>
      </c>
      <c r="E6" s="76"/>
      <c r="F6" s="76"/>
      <c r="G6" s="77">
        <f t="shared" si="1"/>
        <v>0</v>
      </c>
      <c r="H6" s="8"/>
      <c r="I6" s="77">
        <f t="shared" si="2"/>
        <v>7.291666666666663E-2</v>
      </c>
      <c r="J6" s="8"/>
      <c r="K6" s="26" t="s">
        <v>121</v>
      </c>
      <c r="L6" s="77">
        <f>AVERAGE(I4:I9)</f>
        <v>0.11631944444444446</v>
      </c>
    </row>
    <row r="7" spans="1:12" x14ac:dyDescent="0.45">
      <c r="A7" s="68" t="s">
        <v>122</v>
      </c>
      <c r="B7" s="76">
        <v>0.63541666666666663</v>
      </c>
      <c r="C7" s="76">
        <v>0.70833333333333337</v>
      </c>
      <c r="D7" s="77">
        <f t="shared" si="0"/>
        <v>7.2916666666666741E-2</v>
      </c>
      <c r="E7" s="76">
        <v>0.63541666666666663</v>
      </c>
      <c r="F7" s="76">
        <v>0.70833333333333337</v>
      </c>
      <c r="G7" s="77">
        <f t="shared" si="1"/>
        <v>7.2916666666666741E-2</v>
      </c>
      <c r="H7" s="8"/>
      <c r="I7" s="77">
        <f t="shared" si="2"/>
        <v>0.14583333333333348</v>
      </c>
      <c r="J7" s="8"/>
      <c r="K7" s="8"/>
      <c r="L7" s="8"/>
    </row>
    <row r="8" spans="1:12" x14ac:dyDescent="0.45">
      <c r="A8" s="68" t="s">
        <v>123</v>
      </c>
      <c r="B8" s="76"/>
      <c r="C8" s="76"/>
      <c r="D8" s="77">
        <f t="shared" si="0"/>
        <v>0</v>
      </c>
      <c r="E8" s="76">
        <v>0.71875</v>
      </c>
      <c r="F8" s="76">
        <v>0.83333333333333337</v>
      </c>
      <c r="G8" s="77">
        <f t="shared" si="1"/>
        <v>0.11458333333333337</v>
      </c>
      <c r="H8" s="8"/>
      <c r="I8" s="77">
        <f t="shared" si="2"/>
        <v>0.11458333333333337</v>
      </c>
      <c r="J8" s="8"/>
      <c r="K8" s="8"/>
      <c r="L8" s="8"/>
    </row>
    <row r="9" spans="1:12" x14ac:dyDescent="0.45">
      <c r="A9" s="68" t="s">
        <v>124</v>
      </c>
      <c r="B9" s="76">
        <v>0.84375</v>
      </c>
      <c r="C9" s="76">
        <v>0.91666666666666663</v>
      </c>
      <c r="D9" s="77">
        <f t="shared" si="0"/>
        <v>7.291666666666663E-2</v>
      </c>
      <c r="E9" s="76">
        <v>0.84375</v>
      </c>
      <c r="F9" s="76">
        <v>0.91666666666666663</v>
      </c>
      <c r="G9" s="77">
        <f t="shared" si="1"/>
        <v>7.291666666666663E-2</v>
      </c>
      <c r="H9" s="8"/>
      <c r="I9" s="77">
        <f t="shared" si="2"/>
        <v>0.14583333333333326</v>
      </c>
      <c r="J9" s="8"/>
      <c r="K9" s="8"/>
      <c r="L9" s="8"/>
    </row>
    <row r="10" spans="1:12" x14ac:dyDescent="0.45">
      <c r="A10" s="8"/>
      <c r="B10" s="8"/>
      <c r="C10" s="8"/>
      <c r="D10" s="77">
        <f>SUM(D4:D9)</f>
        <v>0.29166666666666669</v>
      </c>
      <c r="E10" s="8"/>
      <c r="F10" s="8"/>
      <c r="G10" s="77">
        <f>SUM(G4:G9)</f>
        <v>0.40625000000000011</v>
      </c>
      <c r="H10" s="8"/>
      <c r="I10" s="77">
        <f>SUM(I4:I9)</f>
        <v>0.69791666666666674</v>
      </c>
      <c r="J10" s="8"/>
      <c r="K10" s="8"/>
      <c r="L10" s="8"/>
    </row>
    <row r="14" spans="1:12" x14ac:dyDescent="0.45">
      <c r="B14" s="6" t="s">
        <v>127</v>
      </c>
    </row>
  </sheetData>
  <sheetProtection algorithmName="SHA-512" hashValue="Oj3DxanMo4cvieR4+uMrLgMjqbMwEdZxLuTmhW4i2t3BCzRDIzO2xkuGGmPpy3dgo3qd3TcLYxGXpHIAPVLgsQ==" saltValue="tlARcoYLHiXZllXss+Tm4g==" spinCount="100000" sheet="1" objects="1" scenarios="1"/>
  <mergeCells count="5">
    <mergeCell ref="B1:G1"/>
    <mergeCell ref="B2:D2"/>
    <mergeCell ref="E2:G2"/>
    <mergeCell ref="K2:L3"/>
    <mergeCell ref="I2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topLeftCell="A5" workbookViewId="0">
      <selection activeCell="A4" sqref="A4:A26"/>
    </sheetView>
  </sheetViews>
  <sheetFormatPr defaultColWidth="11.140625" defaultRowHeight="15.9" x14ac:dyDescent="0.45"/>
  <cols>
    <col min="1" max="1" width="28.640625" customWidth="1"/>
    <col min="2" max="2" width="15.5" customWidth="1"/>
    <col min="6" max="6" width="15.140625" customWidth="1"/>
    <col min="7" max="7" width="18.640625" customWidth="1"/>
    <col min="8" max="8" width="14.5" customWidth="1"/>
    <col min="9" max="9" width="18.140625" customWidth="1"/>
  </cols>
  <sheetData>
    <row r="1" spans="1:16" x14ac:dyDescent="0.45">
      <c r="A1" s="8"/>
      <c r="B1" s="163" t="s">
        <v>128</v>
      </c>
      <c r="C1" s="163"/>
      <c r="D1" s="163"/>
      <c r="E1" s="163"/>
      <c r="F1" s="163"/>
      <c r="G1" s="163"/>
      <c r="H1" s="163"/>
      <c r="I1" s="163"/>
      <c r="J1" s="8"/>
      <c r="K1" s="8"/>
      <c r="L1" s="8"/>
    </row>
    <row r="2" spans="1:16" x14ac:dyDescent="0.45">
      <c r="A2" s="8"/>
      <c r="B2" s="167" t="s">
        <v>129</v>
      </c>
      <c r="C2" s="167"/>
      <c r="D2" s="167"/>
      <c r="E2" s="167"/>
      <c r="F2" s="167" t="s">
        <v>130</v>
      </c>
      <c r="G2" s="167"/>
      <c r="H2" s="167"/>
      <c r="I2" s="167"/>
      <c r="J2" s="8"/>
      <c r="K2" s="8"/>
      <c r="L2" s="8"/>
    </row>
    <row r="3" spans="1:16" x14ac:dyDescent="0.45">
      <c r="A3" s="8"/>
      <c r="B3" s="84" t="s">
        <v>131</v>
      </c>
      <c r="C3" s="84" t="s">
        <v>132</v>
      </c>
      <c r="D3" s="84" t="s">
        <v>133</v>
      </c>
      <c r="E3" s="84" t="s">
        <v>134</v>
      </c>
      <c r="F3" s="84" t="s">
        <v>131</v>
      </c>
      <c r="G3" s="84" t="s">
        <v>135</v>
      </c>
      <c r="H3" s="84" t="s">
        <v>136</v>
      </c>
      <c r="I3" s="84" t="s">
        <v>137</v>
      </c>
      <c r="J3" s="8"/>
      <c r="K3" s="8"/>
      <c r="L3" s="8"/>
    </row>
    <row r="4" spans="1:16" x14ac:dyDescent="0.45">
      <c r="A4" s="85" t="s">
        <v>138</v>
      </c>
      <c r="B4" s="80"/>
      <c r="C4" s="80"/>
      <c r="D4" s="80"/>
      <c r="E4" s="80"/>
      <c r="F4" s="80"/>
      <c r="G4" s="80"/>
      <c r="H4" s="80"/>
      <c r="I4" s="80"/>
      <c r="J4" s="8"/>
      <c r="K4" s="164" t="s">
        <v>139</v>
      </c>
      <c r="L4" s="164"/>
    </row>
    <row r="5" spans="1:16" x14ac:dyDescent="0.45">
      <c r="A5" s="85" t="s">
        <v>140</v>
      </c>
      <c r="B5" s="80"/>
      <c r="C5" s="80"/>
      <c r="D5" s="80"/>
      <c r="E5" s="80"/>
      <c r="F5" s="80"/>
      <c r="G5" s="80"/>
      <c r="H5" s="80"/>
      <c r="I5" s="80"/>
      <c r="J5" s="8"/>
      <c r="K5" s="81" t="s">
        <v>141</v>
      </c>
      <c r="L5" s="26">
        <v>5</v>
      </c>
    </row>
    <row r="6" spans="1:16" x14ac:dyDescent="0.45">
      <c r="A6" s="85" t="s">
        <v>142</v>
      </c>
      <c r="B6" s="80"/>
      <c r="C6" s="80"/>
      <c r="D6" s="80"/>
      <c r="E6" s="80"/>
      <c r="F6" s="80"/>
      <c r="G6" s="80"/>
      <c r="H6" s="80"/>
      <c r="I6" s="80"/>
      <c r="J6" s="8"/>
      <c r="K6" s="81" t="s">
        <v>143</v>
      </c>
      <c r="L6" s="26">
        <v>4</v>
      </c>
    </row>
    <row r="7" spans="1:16" x14ac:dyDescent="0.45">
      <c r="A7" s="85" t="s">
        <v>144</v>
      </c>
      <c r="B7" s="80"/>
      <c r="C7" s="80"/>
      <c r="D7" s="80"/>
      <c r="E7" s="80"/>
      <c r="F7" s="80"/>
      <c r="G7" s="80"/>
      <c r="H7" s="80"/>
      <c r="I7" s="80"/>
      <c r="J7" s="8"/>
      <c r="K7" s="81" t="s">
        <v>145</v>
      </c>
      <c r="L7" s="26">
        <v>3</v>
      </c>
    </row>
    <row r="8" spans="1:16" x14ac:dyDescent="0.45">
      <c r="A8" s="85" t="s">
        <v>146</v>
      </c>
      <c r="B8" s="80"/>
      <c r="C8" s="80"/>
      <c r="D8" s="80"/>
      <c r="E8" s="80"/>
      <c r="F8" s="80"/>
      <c r="G8" s="80"/>
      <c r="H8" s="80"/>
      <c r="I8" s="80"/>
      <c r="J8" s="8"/>
      <c r="K8" s="81" t="s">
        <v>147</v>
      </c>
      <c r="L8" s="26">
        <v>2</v>
      </c>
    </row>
    <row r="9" spans="1:16" x14ac:dyDescent="0.45">
      <c r="A9" s="85" t="s">
        <v>148</v>
      </c>
      <c r="B9" s="80"/>
      <c r="C9" s="80"/>
      <c r="D9" s="80"/>
      <c r="E9" s="80"/>
      <c r="F9" s="80"/>
      <c r="G9" s="80"/>
      <c r="H9" s="80"/>
      <c r="I9" s="80"/>
      <c r="J9" s="8"/>
      <c r="K9" s="81" t="s">
        <v>149</v>
      </c>
      <c r="L9" s="26">
        <v>1</v>
      </c>
    </row>
    <row r="10" spans="1:16" x14ac:dyDescent="0.45">
      <c r="A10" s="85" t="s">
        <v>196</v>
      </c>
      <c r="B10" s="80" t="s">
        <v>200</v>
      </c>
      <c r="C10" s="80" t="s">
        <v>200</v>
      </c>
      <c r="D10" s="80" t="s">
        <v>200</v>
      </c>
      <c r="E10" s="80" t="s">
        <v>200</v>
      </c>
      <c r="F10" s="80" t="s">
        <v>200</v>
      </c>
      <c r="G10" s="80" t="s">
        <v>200</v>
      </c>
      <c r="H10" s="80" t="s">
        <v>200</v>
      </c>
      <c r="I10" s="80" t="s">
        <v>200</v>
      </c>
      <c r="J10" s="8"/>
      <c r="K10" s="131"/>
      <c r="L10" s="132"/>
    </row>
    <row r="11" spans="1:16" x14ac:dyDescent="0.45">
      <c r="A11" s="85" t="s">
        <v>150</v>
      </c>
      <c r="B11" s="80"/>
      <c r="C11" s="80"/>
      <c r="D11" s="80"/>
      <c r="E11" s="80"/>
      <c r="F11" s="80"/>
      <c r="G11" s="80"/>
      <c r="H11" s="80"/>
      <c r="I11" s="80"/>
      <c r="J11" s="8"/>
      <c r="K11" s="8"/>
      <c r="L11" s="8"/>
    </row>
    <row r="12" spans="1:16" x14ac:dyDescent="0.45">
      <c r="A12" s="85" t="s">
        <v>151</v>
      </c>
      <c r="B12" s="80"/>
      <c r="C12" s="80"/>
      <c r="D12" s="80"/>
      <c r="E12" s="80"/>
      <c r="F12" s="80"/>
      <c r="G12" s="80"/>
      <c r="H12" s="80"/>
      <c r="I12" s="80"/>
      <c r="J12" s="8"/>
      <c r="K12" s="8"/>
      <c r="L12" s="8"/>
    </row>
    <row r="13" spans="1:16" x14ac:dyDescent="0.45">
      <c r="A13" s="85" t="s">
        <v>152</v>
      </c>
      <c r="B13" s="80"/>
      <c r="C13" s="80"/>
      <c r="D13" s="80"/>
      <c r="E13" s="80"/>
      <c r="F13" s="80"/>
      <c r="G13" s="80"/>
      <c r="H13" s="80"/>
      <c r="I13" s="80"/>
      <c r="J13" s="8"/>
      <c r="L13" s="8"/>
    </row>
    <row r="14" spans="1:16" x14ac:dyDescent="0.45">
      <c r="A14" s="85" t="s">
        <v>153</v>
      </c>
      <c r="B14" s="80"/>
      <c r="C14" s="80"/>
      <c r="D14" s="80"/>
      <c r="E14" s="80"/>
      <c r="F14" s="80"/>
      <c r="G14" s="80"/>
      <c r="H14" s="80"/>
      <c r="I14" s="80"/>
      <c r="J14" s="8"/>
      <c r="K14" s="65" t="s">
        <v>199</v>
      </c>
      <c r="L14" s="8"/>
      <c r="P14" s="134"/>
    </row>
    <row r="15" spans="1:16" x14ac:dyDescent="0.45">
      <c r="A15" s="85" t="s">
        <v>197</v>
      </c>
      <c r="B15" s="80" t="s">
        <v>200</v>
      </c>
      <c r="C15" s="80" t="s">
        <v>200</v>
      </c>
      <c r="D15" s="80" t="s">
        <v>200</v>
      </c>
      <c r="E15" s="80" t="s">
        <v>200</v>
      </c>
      <c r="F15" s="80" t="s">
        <v>200</v>
      </c>
      <c r="G15" s="80" t="s">
        <v>200</v>
      </c>
      <c r="H15" s="80" t="s">
        <v>200</v>
      </c>
      <c r="I15" s="80" t="s">
        <v>200</v>
      </c>
      <c r="J15" s="8"/>
      <c r="K15" s="8"/>
      <c r="L15" s="8"/>
    </row>
    <row r="16" spans="1:16" x14ac:dyDescent="0.45">
      <c r="A16" s="85" t="s">
        <v>154</v>
      </c>
      <c r="B16" s="80"/>
      <c r="C16" s="80"/>
      <c r="D16" s="80"/>
      <c r="E16" s="80"/>
      <c r="F16" s="80"/>
      <c r="G16" s="80"/>
      <c r="H16" s="80"/>
      <c r="I16" s="80"/>
      <c r="J16" s="8"/>
      <c r="K16" s="137" t="s">
        <v>201</v>
      </c>
      <c r="L16" s="8"/>
    </row>
    <row r="17" spans="1:12" x14ac:dyDescent="0.45">
      <c r="A17" s="85" t="s">
        <v>155</v>
      </c>
      <c r="B17" s="80"/>
      <c r="C17" s="80"/>
      <c r="D17" s="80"/>
      <c r="E17" s="80"/>
      <c r="F17" s="80"/>
      <c r="G17" s="80"/>
      <c r="H17" s="80"/>
      <c r="I17" s="80"/>
      <c r="J17" s="8"/>
      <c r="K17" s="8"/>
      <c r="L17" s="8"/>
    </row>
    <row r="18" spans="1:12" x14ac:dyDescent="0.45">
      <c r="A18" s="85" t="s">
        <v>156</v>
      </c>
      <c r="B18" s="80"/>
      <c r="C18" s="80"/>
      <c r="D18" s="80"/>
      <c r="E18" s="80"/>
      <c r="F18" s="80"/>
      <c r="G18" s="80"/>
      <c r="H18" s="80"/>
      <c r="I18" s="80"/>
      <c r="J18" s="8"/>
      <c r="K18" s="8"/>
      <c r="L18" s="8"/>
    </row>
    <row r="19" spans="1:12" x14ac:dyDescent="0.45">
      <c r="A19" s="85" t="s">
        <v>157</v>
      </c>
      <c r="B19" s="80"/>
      <c r="C19" s="80"/>
      <c r="D19" s="80"/>
      <c r="E19" s="80"/>
      <c r="F19" s="80"/>
      <c r="G19" s="80"/>
      <c r="H19" s="80"/>
      <c r="I19" s="80"/>
      <c r="J19" s="8"/>
      <c r="K19" s="8"/>
      <c r="L19" s="8"/>
    </row>
    <row r="20" spans="1:12" x14ac:dyDescent="0.45">
      <c r="A20" s="85" t="s">
        <v>158</v>
      </c>
      <c r="B20" s="80"/>
      <c r="C20" s="80"/>
      <c r="D20" s="80"/>
      <c r="E20" s="80"/>
      <c r="F20" s="80"/>
      <c r="G20" s="80"/>
      <c r="H20" s="80"/>
      <c r="I20" s="80"/>
      <c r="J20" s="8"/>
      <c r="K20" s="8"/>
      <c r="L20" s="8"/>
    </row>
    <row r="21" spans="1:12" x14ac:dyDescent="0.45">
      <c r="A21" s="85" t="s">
        <v>198</v>
      </c>
      <c r="B21" s="80" t="s">
        <v>200</v>
      </c>
      <c r="C21" s="80" t="s">
        <v>200</v>
      </c>
      <c r="D21" s="80" t="s">
        <v>200</v>
      </c>
      <c r="E21" s="80" t="s">
        <v>200</v>
      </c>
      <c r="F21" s="80" t="s">
        <v>200</v>
      </c>
      <c r="G21" s="80" t="s">
        <v>200</v>
      </c>
      <c r="H21" s="80" t="s">
        <v>200</v>
      </c>
      <c r="I21" s="80" t="s">
        <v>200</v>
      </c>
      <c r="J21" s="8"/>
      <c r="K21" s="8"/>
      <c r="L21" s="8"/>
    </row>
    <row r="22" spans="1:12" x14ac:dyDescent="0.45">
      <c r="A22" s="85" t="s">
        <v>159</v>
      </c>
      <c r="B22" s="80"/>
      <c r="C22" s="80"/>
      <c r="D22" s="80"/>
      <c r="E22" s="80"/>
      <c r="F22" s="80"/>
      <c r="G22" s="80"/>
      <c r="H22" s="80"/>
      <c r="I22" s="80"/>
      <c r="J22" s="8"/>
      <c r="K22" s="8"/>
      <c r="L22" s="8"/>
    </row>
    <row r="23" spans="1:12" x14ac:dyDescent="0.45">
      <c r="A23" s="85" t="s">
        <v>160</v>
      </c>
      <c r="B23" s="80"/>
      <c r="C23" s="80"/>
      <c r="D23" s="80"/>
      <c r="E23" s="80"/>
      <c r="F23" s="80"/>
      <c r="G23" s="80"/>
      <c r="H23" s="80"/>
      <c r="I23" s="80"/>
      <c r="J23" s="8"/>
      <c r="K23" s="8"/>
      <c r="L23" s="8"/>
    </row>
    <row r="24" spans="1:12" x14ac:dyDescent="0.45">
      <c r="A24" s="85" t="s">
        <v>161</v>
      </c>
      <c r="B24" s="80"/>
      <c r="C24" s="80"/>
      <c r="D24" s="80"/>
      <c r="E24" s="80"/>
      <c r="F24" s="80"/>
      <c r="G24" s="80"/>
      <c r="H24" s="80"/>
      <c r="I24" s="80"/>
      <c r="J24" s="8"/>
      <c r="K24" s="8"/>
      <c r="L24" s="8"/>
    </row>
    <row r="25" spans="1:12" x14ac:dyDescent="0.45">
      <c r="A25" s="85" t="s">
        <v>162</v>
      </c>
      <c r="B25" s="80"/>
      <c r="C25" s="80"/>
      <c r="D25" s="80"/>
      <c r="E25" s="80"/>
      <c r="F25" s="80"/>
      <c r="G25" s="80"/>
      <c r="H25" s="80"/>
      <c r="I25" s="80"/>
      <c r="J25" s="8"/>
      <c r="K25" s="8"/>
      <c r="L25" s="8"/>
    </row>
    <row r="26" spans="1:12" x14ac:dyDescent="0.45">
      <c r="A26" s="85" t="s">
        <v>163</v>
      </c>
      <c r="B26" s="80"/>
      <c r="C26" s="80"/>
      <c r="D26" s="80"/>
      <c r="E26" s="80"/>
      <c r="F26" s="80"/>
      <c r="G26" s="80"/>
      <c r="H26" s="80"/>
      <c r="I26" s="80"/>
      <c r="J26" s="8"/>
      <c r="K26" s="8"/>
      <c r="L26" s="8"/>
    </row>
    <row r="27" spans="1:12" x14ac:dyDescent="0.45">
      <c r="A27" s="82" t="s">
        <v>164</v>
      </c>
      <c r="B27" s="83"/>
      <c r="C27" s="83"/>
      <c r="D27" s="83"/>
      <c r="E27" s="83"/>
      <c r="F27" s="83"/>
      <c r="G27" s="83"/>
      <c r="H27" s="83"/>
      <c r="I27" s="83"/>
      <c r="J27" s="8"/>
      <c r="K27" s="8"/>
      <c r="L27" s="8"/>
    </row>
    <row r="28" spans="1:12" x14ac:dyDescent="0.45">
      <c r="A28" s="58" t="s">
        <v>165</v>
      </c>
      <c r="B28" s="83"/>
      <c r="C28" s="83"/>
      <c r="D28" s="83"/>
      <c r="E28" s="83"/>
      <c r="F28" s="83"/>
      <c r="G28" s="83"/>
      <c r="H28" s="83"/>
      <c r="I28" s="83"/>
      <c r="J28" s="8"/>
      <c r="K28" s="8"/>
      <c r="L28" s="8"/>
    </row>
    <row r="29" spans="1:12" x14ac:dyDescent="0.45">
      <c r="A29" s="58" t="s">
        <v>164</v>
      </c>
      <c r="B29" s="172"/>
      <c r="C29" s="173"/>
      <c r="D29" s="173"/>
      <c r="E29" s="174"/>
      <c r="F29" s="86"/>
      <c r="G29" s="87"/>
      <c r="H29" s="87"/>
      <c r="I29" s="88"/>
      <c r="J29" s="8"/>
      <c r="K29" s="8"/>
      <c r="L29" s="8"/>
    </row>
    <row r="30" spans="1:12" x14ac:dyDescent="0.45">
      <c r="A30" s="58" t="s">
        <v>165</v>
      </c>
      <c r="B30" s="168"/>
      <c r="C30" s="168"/>
      <c r="D30" s="168"/>
      <c r="E30" s="168"/>
      <c r="F30" s="169"/>
      <c r="G30" s="170"/>
      <c r="H30" s="170"/>
      <c r="I30" s="171"/>
      <c r="J30" s="8"/>
      <c r="K30" s="8"/>
      <c r="L30" s="8"/>
    </row>
  </sheetData>
  <mergeCells count="7">
    <mergeCell ref="B1:I1"/>
    <mergeCell ref="B2:E2"/>
    <mergeCell ref="F2:I2"/>
    <mergeCell ref="K4:L4"/>
    <mergeCell ref="B30:E30"/>
    <mergeCell ref="F30:I30"/>
    <mergeCell ref="B29:E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0"/>
  <sheetViews>
    <sheetView workbookViewId="0">
      <selection activeCell="J4" sqref="J4"/>
    </sheetView>
  </sheetViews>
  <sheetFormatPr defaultColWidth="11.140625" defaultRowHeight="15.9" x14ac:dyDescent="0.45"/>
  <cols>
    <col min="1" max="1" width="26.85546875" customWidth="1"/>
    <col min="2" max="9" width="5.140625" customWidth="1"/>
  </cols>
  <sheetData>
    <row r="1" spans="1:16" x14ac:dyDescent="0.45">
      <c r="A1" s="8"/>
      <c r="B1" s="163" t="s">
        <v>128</v>
      </c>
      <c r="C1" s="163"/>
      <c r="D1" s="163"/>
      <c r="E1" s="163"/>
      <c r="F1" s="163"/>
      <c r="G1" s="163"/>
      <c r="H1" s="163"/>
      <c r="I1" s="163"/>
      <c r="J1" s="8"/>
      <c r="K1" s="8"/>
      <c r="L1" s="8"/>
    </row>
    <row r="2" spans="1:16" x14ac:dyDescent="0.45">
      <c r="A2" s="8"/>
      <c r="B2" s="175" t="s">
        <v>129</v>
      </c>
      <c r="C2" s="175"/>
      <c r="D2" s="175"/>
      <c r="E2" s="175"/>
      <c r="F2" s="176" t="s">
        <v>130</v>
      </c>
      <c r="G2" s="176"/>
      <c r="H2" s="176"/>
      <c r="I2" s="176"/>
      <c r="J2" s="8"/>
      <c r="K2" s="8"/>
      <c r="L2" s="8"/>
    </row>
    <row r="3" spans="1:16" ht="108.45" x14ac:dyDescent="0.45">
      <c r="A3" s="8"/>
      <c r="B3" s="78" t="s">
        <v>131</v>
      </c>
      <c r="C3" s="78" t="s">
        <v>132</v>
      </c>
      <c r="D3" s="78" t="s">
        <v>133</v>
      </c>
      <c r="E3" s="78" t="s">
        <v>134</v>
      </c>
      <c r="F3" s="79" t="s">
        <v>131</v>
      </c>
      <c r="G3" s="79" t="s">
        <v>135</v>
      </c>
      <c r="H3" s="79" t="s">
        <v>136</v>
      </c>
      <c r="I3" s="79" t="s">
        <v>137</v>
      </c>
      <c r="J3" s="8"/>
      <c r="K3" s="8"/>
      <c r="L3" s="8"/>
    </row>
    <row r="4" spans="1:16" x14ac:dyDescent="0.45">
      <c r="A4" s="85" t="s">
        <v>138</v>
      </c>
      <c r="B4" s="80">
        <f ca="1">RANDBETWEEN(0,5)</f>
        <v>1</v>
      </c>
      <c r="C4" s="80">
        <f t="shared" ref="C4:I22" ca="1" si="0">RANDBETWEEN(0,5)</f>
        <v>0</v>
      </c>
      <c r="D4" s="80">
        <f t="shared" ca="1" si="0"/>
        <v>3</v>
      </c>
      <c r="E4" s="80">
        <f t="shared" ca="1" si="0"/>
        <v>5</v>
      </c>
      <c r="F4" s="80">
        <f t="shared" ca="1" si="0"/>
        <v>5</v>
      </c>
      <c r="G4" s="80">
        <f t="shared" ca="1" si="0"/>
        <v>2</v>
      </c>
      <c r="H4" s="80">
        <f t="shared" ca="1" si="0"/>
        <v>3</v>
      </c>
      <c r="I4" s="80">
        <f t="shared" ca="1" si="0"/>
        <v>5</v>
      </c>
      <c r="J4" s="8"/>
      <c r="K4" s="164" t="s">
        <v>139</v>
      </c>
      <c r="L4" s="164"/>
    </row>
    <row r="5" spans="1:16" x14ac:dyDescent="0.45">
      <c r="A5" s="85" t="s">
        <v>140</v>
      </c>
      <c r="B5" s="80">
        <f t="shared" ref="B5:I26" ca="1" si="1">RANDBETWEEN(0,5)</f>
        <v>5</v>
      </c>
      <c r="C5" s="80">
        <f t="shared" ca="1" si="0"/>
        <v>4</v>
      </c>
      <c r="D5" s="80">
        <f t="shared" ca="1" si="0"/>
        <v>2</v>
      </c>
      <c r="E5" s="80">
        <f t="shared" ca="1" si="0"/>
        <v>0</v>
      </c>
      <c r="F5" s="80">
        <f t="shared" ca="1" si="0"/>
        <v>4</v>
      </c>
      <c r="G5" s="80">
        <f t="shared" ca="1" si="0"/>
        <v>2</v>
      </c>
      <c r="H5" s="80">
        <f t="shared" ca="1" si="0"/>
        <v>2</v>
      </c>
      <c r="I5" s="80">
        <f t="shared" ca="1" si="0"/>
        <v>0</v>
      </c>
      <c r="J5" s="8"/>
      <c r="K5" s="81" t="s">
        <v>141</v>
      </c>
      <c r="L5" s="26">
        <v>5</v>
      </c>
    </row>
    <row r="6" spans="1:16" x14ac:dyDescent="0.45">
      <c r="A6" s="85" t="s">
        <v>142</v>
      </c>
      <c r="B6" s="80">
        <f t="shared" ca="1" si="1"/>
        <v>0</v>
      </c>
      <c r="C6" s="80">
        <f t="shared" ca="1" si="0"/>
        <v>0</v>
      </c>
      <c r="D6" s="80">
        <f t="shared" ca="1" si="0"/>
        <v>4</v>
      </c>
      <c r="E6" s="80">
        <f t="shared" ca="1" si="0"/>
        <v>3</v>
      </c>
      <c r="F6" s="80">
        <f t="shared" ca="1" si="0"/>
        <v>1</v>
      </c>
      <c r="G6" s="80">
        <f t="shared" ca="1" si="0"/>
        <v>1</v>
      </c>
      <c r="H6" s="80">
        <f t="shared" ca="1" si="0"/>
        <v>0</v>
      </c>
      <c r="I6" s="80">
        <f t="shared" ca="1" si="0"/>
        <v>1</v>
      </c>
      <c r="J6" s="8"/>
      <c r="K6" s="81" t="s">
        <v>143</v>
      </c>
      <c r="L6" s="26">
        <v>4</v>
      </c>
    </row>
    <row r="7" spans="1:16" x14ac:dyDescent="0.45">
      <c r="A7" s="85" t="s">
        <v>144</v>
      </c>
      <c r="B7" s="80">
        <f t="shared" ca="1" si="1"/>
        <v>3</v>
      </c>
      <c r="C7" s="80">
        <f t="shared" ca="1" si="0"/>
        <v>4</v>
      </c>
      <c r="D7" s="80">
        <f t="shared" ca="1" si="0"/>
        <v>1</v>
      </c>
      <c r="E7" s="80">
        <f t="shared" ca="1" si="0"/>
        <v>0</v>
      </c>
      <c r="F7" s="80">
        <f t="shared" ca="1" si="0"/>
        <v>1</v>
      </c>
      <c r="G7" s="80">
        <f t="shared" ca="1" si="0"/>
        <v>3</v>
      </c>
      <c r="H7" s="80">
        <f t="shared" ca="1" si="0"/>
        <v>4</v>
      </c>
      <c r="I7" s="80">
        <f t="shared" ca="1" si="0"/>
        <v>4</v>
      </c>
      <c r="J7" s="8"/>
      <c r="K7" s="81" t="s">
        <v>145</v>
      </c>
      <c r="L7" s="26">
        <v>3</v>
      </c>
    </row>
    <row r="8" spans="1:16" x14ac:dyDescent="0.45">
      <c r="A8" s="85" t="s">
        <v>146</v>
      </c>
      <c r="B8" s="80">
        <f t="shared" ca="1" si="1"/>
        <v>1</v>
      </c>
      <c r="C8" s="80">
        <f t="shared" ca="1" si="0"/>
        <v>1</v>
      </c>
      <c r="D8" s="80">
        <f t="shared" ca="1" si="0"/>
        <v>4</v>
      </c>
      <c r="E8" s="80">
        <f t="shared" ca="1" si="0"/>
        <v>2</v>
      </c>
      <c r="F8" s="80">
        <f t="shared" ca="1" si="0"/>
        <v>2</v>
      </c>
      <c r="G8" s="80">
        <f t="shared" ca="1" si="0"/>
        <v>3</v>
      </c>
      <c r="H8" s="80">
        <f t="shared" ca="1" si="0"/>
        <v>2</v>
      </c>
      <c r="I8" s="80">
        <f t="shared" ca="1" si="0"/>
        <v>3</v>
      </c>
      <c r="J8" s="8"/>
      <c r="K8" s="81" t="s">
        <v>147</v>
      </c>
      <c r="L8" s="26">
        <v>2</v>
      </c>
    </row>
    <row r="9" spans="1:16" x14ac:dyDescent="0.45">
      <c r="A9" s="85" t="s">
        <v>148</v>
      </c>
      <c r="B9" s="80">
        <f t="shared" ca="1" si="1"/>
        <v>3</v>
      </c>
      <c r="C9" s="80">
        <f t="shared" ca="1" si="0"/>
        <v>4</v>
      </c>
      <c r="D9" s="80">
        <f t="shared" ca="1" si="0"/>
        <v>0</v>
      </c>
      <c r="E9" s="80">
        <f t="shared" ca="1" si="0"/>
        <v>0</v>
      </c>
      <c r="F9" s="80">
        <f t="shared" ca="1" si="0"/>
        <v>1</v>
      </c>
      <c r="G9" s="80">
        <f t="shared" ca="1" si="0"/>
        <v>5</v>
      </c>
      <c r="H9" s="80">
        <f t="shared" ca="1" si="0"/>
        <v>1</v>
      </c>
      <c r="I9" s="80">
        <f t="shared" ca="1" si="0"/>
        <v>3</v>
      </c>
      <c r="J9" s="8"/>
      <c r="K9" s="81" t="s">
        <v>149</v>
      </c>
      <c r="L9" s="26">
        <v>1</v>
      </c>
    </row>
    <row r="10" spans="1:16" x14ac:dyDescent="0.45">
      <c r="A10" s="85" t="s">
        <v>196</v>
      </c>
      <c r="B10" s="80"/>
      <c r="C10" s="80"/>
      <c r="D10" s="80"/>
      <c r="E10" s="80"/>
      <c r="F10" s="80"/>
      <c r="G10" s="80"/>
      <c r="H10" s="80"/>
      <c r="I10" s="80"/>
      <c r="J10" s="8"/>
      <c r="K10" s="131"/>
      <c r="L10" s="132"/>
    </row>
    <row r="11" spans="1:16" x14ac:dyDescent="0.45">
      <c r="A11" s="85" t="s">
        <v>150</v>
      </c>
      <c r="B11" s="80">
        <f t="shared" ca="1" si="1"/>
        <v>4</v>
      </c>
      <c r="C11" s="80">
        <f t="shared" ca="1" si="0"/>
        <v>3</v>
      </c>
      <c r="D11" s="80">
        <f t="shared" ca="1" si="0"/>
        <v>0</v>
      </c>
      <c r="E11" s="80">
        <f t="shared" ca="1" si="0"/>
        <v>5</v>
      </c>
      <c r="F11" s="80">
        <f t="shared" ca="1" si="0"/>
        <v>2</v>
      </c>
      <c r="G11" s="80">
        <f t="shared" ca="1" si="0"/>
        <v>5</v>
      </c>
      <c r="H11" s="80">
        <f t="shared" ca="1" si="0"/>
        <v>0</v>
      </c>
      <c r="I11" s="80">
        <f t="shared" ca="1" si="0"/>
        <v>5</v>
      </c>
      <c r="J11" s="8"/>
      <c r="K11" s="8"/>
      <c r="L11" s="8"/>
    </row>
    <row r="12" spans="1:16" x14ac:dyDescent="0.45">
      <c r="A12" s="85" t="s">
        <v>151</v>
      </c>
      <c r="B12" s="80">
        <f t="shared" ca="1" si="1"/>
        <v>1</v>
      </c>
      <c r="C12" s="80">
        <f t="shared" ca="1" si="0"/>
        <v>2</v>
      </c>
      <c r="D12" s="80">
        <f t="shared" ca="1" si="0"/>
        <v>1</v>
      </c>
      <c r="E12" s="80">
        <f t="shared" ca="1" si="0"/>
        <v>0</v>
      </c>
      <c r="F12" s="80">
        <f t="shared" ca="1" si="0"/>
        <v>4</v>
      </c>
      <c r="G12" s="80">
        <f t="shared" ca="1" si="0"/>
        <v>0</v>
      </c>
      <c r="H12" s="80">
        <f t="shared" ca="1" si="0"/>
        <v>2</v>
      </c>
      <c r="I12" s="80">
        <f t="shared" ca="1" si="0"/>
        <v>2</v>
      </c>
      <c r="J12" s="8"/>
      <c r="K12" s="8"/>
      <c r="L12" s="8"/>
    </row>
    <row r="13" spans="1:16" x14ac:dyDescent="0.45">
      <c r="A13" s="85" t="s">
        <v>152</v>
      </c>
      <c r="B13" s="80">
        <f t="shared" ca="1" si="1"/>
        <v>5</v>
      </c>
      <c r="C13" s="80">
        <f t="shared" ca="1" si="0"/>
        <v>1</v>
      </c>
      <c r="D13" s="80">
        <f t="shared" ca="1" si="0"/>
        <v>3</v>
      </c>
      <c r="E13" s="80">
        <f t="shared" ca="1" si="0"/>
        <v>2</v>
      </c>
      <c r="F13" s="80">
        <f t="shared" ca="1" si="0"/>
        <v>0</v>
      </c>
      <c r="G13" s="80">
        <f t="shared" ca="1" si="0"/>
        <v>4</v>
      </c>
      <c r="H13" s="80">
        <f t="shared" ca="1" si="0"/>
        <v>3</v>
      </c>
      <c r="I13" s="80">
        <f t="shared" ca="1" si="0"/>
        <v>2</v>
      </c>
      <c r="J13" s="8"/>
      <c r="K13" s="8"/>
      <c r="L13" s="8"/>
    </row>
    <row r="14" spans="1:16" x14ac:dyDescent="0.45">
      <c r="A14" s="85" t="s">
        <v>153</v>
      </c>
      <c r="B14" s="80">
        <f t="shared" ca="1" si="1"/>
        <v>0</v>
      </c>
      <c r="C14" s="80">
        <f t="shared" ca="1" si="0"/>
        <v>3</v>
      </c>
      <c r="D14" s="80">
        <f t="shared" ca="1" si="0"/>
        <v>2</v>
      </c>
      <c r="E14" s="80">
        <f t="shared" ca="1" si="0"/>
        <v>3</v>
      </c>
      <c r="F14" s="80">
        <f t="shared" ca="1" si="0"/>
        <v>4</v>
      </c>
      <c r="G14" s="80">
        <f t="shared" ca="1" si="0"/>
        <v>0</v>
      </c>
      <c r="H14" s="80">
        <f t="shared" ca="1" si="0"/>
        <v>4</v>
      </c>
      <c r="I14" s="80">
        <f t="shared" ca="1" si="0"/>
        <v>0</v>
      </c>
      <c r="J14" s="8"/>
      <c r="K14" s="65" t="s">
        <v>199</v>
      </c>
      <c r="L14" s="8"/>
      <c r="P14" s="133">
        <f ca="1" xml:space="preserve"> COUNT(B4:B26)</f>
        <v>20</v>
      </c>
    </row>
    <row r="15" spans="1:16" x14ac:dyDescent="0.45">
      <c r="A15" s="85" t="s">
        <v>197</v>
      </c>
      <c r="B15" s="80"/>
      <c r="C15" s="80"/>
      <c r="D15" s="80"/>
      <c r="E15" s="80"/>
      <c r="F15" s="80"/>
      <c r="G15" s="80"/>
      <c r="H15" s="80"/>
      <c r="I15" s="80"/>
      <c r="J15" s="8"/>
      <c r="L15" s="8"/>
      <c r="M15" s="8"/>
    </row>
    <row r="16" spans="1:16" x14ac:dyDescent="0.45">
      <c r="A16" s="85" t="s">
        <v>154</v>
      </c>
      <c r="B16" s="80">
        <f t="shared" ca="1" si="1"/>
        <v>4</v>
      </c>
      <c r="C16" s="80">
        <f t="shared" ca="1" si="0"/>
        <v>4</v>
      </c>
      <c r="D16" s="80">
        <f t="shared" ca="1" si="0"/>
        <v>5</v>
      </c>
      <c r="E16" s="80">
        <f t="shared" ca="1" si="0"/>
        <v>3</v>
      </c>
      <c r="F16" s="80">
        <f t="shared" ca="1" si="0"/>
        <v>2</v>
      </c>
      <c r="G16" s="80">
        <f t="shared" ca="1" si="0"/>
        <v>1</v>
      </c>
      <c r="H16" s="80">
        <f t="shared" ca="1" si="0"/>
        <v>2</v>
      </c>
      <c r="I16" s="80">
        <f t="shared" ca="1" si="0"/>
        <v>4</v>
      </c>
      <c r="J16" s="8"/>
      <c r="K16" s="137" t="s">
        <v>201</v>
      </c>
      <c r="L16" s="8"/>
      <c r="M16" s="135"/>
    </row>
    <row r="17" spans="1:13" x14ac:dyDescent="0.45">
      <c r="A17" s="85" t="s">
        <v>155</v>
      </c>
      <c r="B17" s="80">
        <f t="shared" ca="1" si="1"/>
        <v>2</v>
      </c>
      <c r="C17" s="80">
        <f t="shared" ca="1" si="0"/>
        <v>4</v>
      </c>
      <c r="D17" s="80">
        <f t="shared" ca="1" si="0"/>
        <v>4</v>
      </c>
      <c r="E17" s="80">
        <f t="shared" ca="1" si="0"/>
        <v>3</v>
      </c>
      <c r="F17" s="80">
        <f t="shared" ca="1" si="0"/>
        <v>2</v>
      </c>
      <c r="G17" s="80">
        <f t="shared" ca="1" si="0"/>
        <v>5</v>
      </c>
      <c r="H17" s="80">
        <f t="shared" ca="1" si="0"/>
        <v>2</v>
      </c>
      <c r="I17" s="80">
        <f t="shared" ca="1" si="0"/>
        <v>0</v>
      </c>
      <c r="J17" s="8"/>
      <c r="K17" s="8"/>
      <c r="L17" s="8"/>
      <c r="M17" s="136"/>
    </row>
    <row r="18" spans="1:13" x14ac:dyDescent="0.45">
      <c r="A18" s="85" t="s">
        <v>156</v>
      </c>
      <c r="B18" s="80">
        <f t="shared" ca="1" si="1"/>
        <v>4</v>
      </c>
      <c r="C18" s="80">
        <f t="shared" ca="1" si="0"/>
        <v>2</v>
      </c>
      <c r="D18" s="80">
        <f t="shared" ca="1" si="0"/>
        <v>0</v>
      </c>
      <c r="E18" s="80">
        <f t="shared" ca="1" si="0"/>
        <v>3</v>
      </c>
      <c r="F18" s="80">
        <f t="shared" ca="1" si="0"/>
        <v>4</v>
      </c>
      <c r="G18" s="80">
        <f t="shared" ca="1" si="0"/>
        <v>4</v>
      </c>
      <c r="H18" s="80">
        <f t="shared" ca="1" si="0"/>
        <v>1</v>
      </c>
      <c r="I18" s="80">
        <f t="shared" ca="1" si="0"/>
        <v>2</v>
      </c>
      <c r="J18" s="8"/>
      <c r="K18" s="8"/>
      <c r="L18" s="8"/>
    </row>
    <row r="19" spans="1:13" x14ac:dyDescent="0.45">
      <c r="A19" s="85" t="s">
        <v>157</v>
      </c>
      <c r="B19" s="80">
        <f t="shared" ca="1" si="1"/>
        <v>0</v>
      </c>
      <c r="C19" s="80">
        <f t="shared" ca="1" si="0"/>
        <v>4</v>
      </c>
      <c r="D19" s="80">
        <f t="shared" ca="1" si="0"/>
        <v>4</v>
      </c>
      <c r="E19" s="80">
        <f t="shared" ca="1" si="0"/>
        <v>0</v>
      </c>
      <c r="F19" s="80">
        <f t="shared" ca="1" si="0"/>
        <v>1</v>
      </c>
      <c r="G19" s="80">
        <f t="shared" ca="1" si="0"/>
        <v>4</v>
      </c>
      <c r="H19" s="80">
        <f t="shared" ca="1" si="0"/>
        <v>0</v>
      </c>
      <c r="I19" s="80">
        <f t="shared" ca="1" si="0"/>
        <v>4</v>
      </c>
      <c r="J19" s="8"/>
      <c r="K19" s="8"/>
      <c r="L19" s="8"/>
    </row>
    <row r="20" spans="1:13" x14ac:dyDescent="0.45">
      <c r="A20" s="85" t="s">
        <v>158</v>
      </c>
      <c r="B20" s="80">
        <f t="shared" ca="1" si="1"/>
        <v>4</v>
      </c>
      <c r="C20" s="80">
        <f t="shared" ca="1" si="0"/>
        <v>3</v>
      </c>
      <c r="D20" s="80">
        <f t="shared" ca="1" si="0"/>
        <v>5</v>
      </c>
      <c r="E20" s="80">
        <f t="shared" ca="1" si="0"/>
        <v>1</v>
      </c>
      <c r="F20" s="80">
        <f t="shared" ca="1" si="0"/>
        <v>0</v>
      </c>
      <c r="G20" s="80">
        <f t="shared" ca="1" si="0"/>
        <v>1</v>
      </c>
      <c r="H20" s="80">
        <f t="shared" ca="1" si="0"/>
        <v>4</v>
      </c>
      <c r="I20" s="80">
        <f t="shared" ca="1" si="0"/>
        <v>2</v>
      </c>
      <c r="J20" s="8"/>
      <c r="K20" s="8"/>
      <c r="L20" s="8"/>
    </row>
    <row r="21" spans="1:13" x14ac:dyDescent="0.45">
      <c r="A21" s="85" t="s">
        <v>198</v>
      </c>
      <c r="B21" s="80"/>
      <c r="C21" s="80"/>
      <c r="D21" s="80"/>
      <c r="E21" s="80"/>
      <c r="F21" s="80"/>
      <c r="G21" s="80"/>
      <c r="H21" s="80"/>
      <c r="I21" s="80"/>
      <c r="J21" s="8"/>
      <c r="K21" s="8"/>
      <c r="L21" s="8"/>
    </row>
    <row r="22" spans="1:13" x14ac:dyDescent="0.45">
      <c r="A22" s="85" t="s">
        <v>159</v>
      </c>
      <c r="B22" s="80">
        <f t="shared" ca="1" si="1"/>
        <v>5</v>
      </c>
      <c r="C22" s="80">
        <f t="shared" ca="1" si="0"/>
        <v>2</v>
      </c>
      <c r="D22" s="80">
        <f t="shared" ca="1" si="0"/>
        <v>2</v>
      </c>
      <c r="E22" s="80">
        <f t="shared" ca="1" si="0"/>
        <v>2</v>
      </c>
      <c r="F22" s="80">
        <f t="shared" ca="1" si="0"/>
        <v>0</v>
      </c>
      <c r="G22" s="80">
        <f t="shared" ca="1" si="0"/>
        <v>1</v>
      </c>
      <c r="H22" s="80">
        <f t="shared" ca="1" si="0"/>
        <v>3</v>
      </c>
      <c r="I22" s="80">
        <f t="shared" ca="1" si="0"/>
        <v>1</v>
      </c>
      <c r="J22" s="8"/>
      <c r="K22" s="8"/>
      <c r="L22" s="8"/>
    </row>
    <row r="23" spans="1:13" x14ac:dyDescent="0.45">
      <c r="A23" s="85" t="s">
        <v>160</v>
      </c>
      <c r="B23" s="80">
        <f t="shared" ca="1" si="1"/>
        <v>5</v>
      </c>
      <c r="C23" s="80">
        <f t="shared" ca="1" si="1"/>
        <v>5</v>
      </c>
      <c r="D23" s="80">
        <f t="shared" ca="1" si="1"/>
        <v>1</v>
      </c>
      <c r="E23" s="80">
        <f t="shared" ca="1" si="1"/>
        <v>3</v>
      </c>
      <c r="F23" s="80">
        <f t="shared" ca="1" si="1"/>
        <v>3</v>
      </c>
      <c r="G23" s="80">
        <f t="shared" ca="1" si="1"/>
        <v>4</v>
      </c>
      <c r="H23" s="80">
        <f t="shared" ca="1" si="1"/>
        <v>5</v>
      </c>
      <c r="I23" s="80">
        <f t="shared" ca="1" si="1"/>
        <v>0</v>
      </c>
      <c r="J23" s="8"/>
      <c r="K23" s="8"/>
      <c r="L23" s="8"/>
    </row>
    <row r="24" spans="1:13" x14ac:dyDescent="0.45">
      <c r="A24" s="85" t="s">
        <v>161</v>
      </c>
      <c r="B24" s="80">
        <f t="shared" ca="1" si="1"/>
        <v>3</v>
      </c>
      <c r="C24" s="80">
        <f t="shared" ca="1" si="1"/>
        <v>2</v>
      </c>
      <c r="D24" s="80">
        <f t="shared" ca="1" si="1"/>
        <v>2</v>
      </c>
      <c r="E24" s="80">
        <f t="shared" ca="1" si="1"/>
        <v>1</v>
      </c>
      <c r="F24" s="80">
        <f t="shared" ca="1" si="1"/>
        <v>4</v>
      </c>
      <c r="G24" s="80">
        <f t="shared" ca="1" si="1"/>
        <v>3</v>
      </c>
      <c r="H24" s="80">
        <f t="shared" ca="1" si="1"/>
        <v>4</v>
      </c>
      <c r="I24" s="80">
        <f t="shared" ca="1" si="1"/>
        <v>5</v>
      </c>
      <c r="J24" s="8"/>
      <c r="K24" s="8"/>
      <c r="L24" s="8"/>
    </row>
    <row r="25" spans="1:13" x14ac:dyDescent="0.45">
      <c r="A25" s="85" t="s">
        <v>162</v>
      </c>
      <c r="B25" s="80">
        <f t="shared" ca="1" si="1"/>
        <v>2</v>
      </c>
      <c r="C25" s="80">
        <f t="shared" ca="1" si="1"/>
        <v>2</v>
      </c>
      <c r="D25" s="80">
        <f t="shared" ca="1" si="1"/>
        <v>4</v>
      </c>
      <c r="E25" s="80">
        <f t="shared" ca="1" si="1"/>
        <v>2</v>
      </c>
      <c r="F25" s="80">
        <f t="shared" ca="1" si="1"/>
        <v>4</v>
      </c>
      <c r="G25" s="80">
        <f t="shared" ca="1" si="1"/>
        <v>1</v>
      </c>
      <c r="H25" s="80">
        <f t="shared" ca="1" si="1"/>
        <v>2</v>
      </c>
      <c r="I25" s="80">
        <f t="shared" ca="1" si="1"/>
        <v>4</v>
      </c>
      <c r="J25" s="8"/>
      <c r="K25" s="8"/>
      <c r="L25" s="8"/>
    </row>
    <row r="26" spans="1:13" x14ac:dyDescent="0.45">
      <c r="A26" s="85" t="s">
        <v>163</v>
      </c>
      <c r="B26" s="80">
        <f t="shared" ca="1" si="1"/>
        <v>0</v>
      </c>
      <c r="C26" s="80">
        <f t="shared" ca="1" si="1"/>
        <v>4</v>
      </c>
      <c r="D26" s="80">
        <f t="shared" ca="1" si="1"/>
        <v>5</v>
      </c>
      <c r="E26" s="80">
        <f t="shared" ca="1" si="1"/>
        <v>0</v>
      </c>
      <c r="F26" s="80">
        <f t="shared" ca="1" si="1"/>
        <v>1</v>
      </c>
      <c r="G26" s="80">
        <f t="shared" ca="1" si="1"/>
        <v>0</v>
      </c>
      <c r="H26" s="80">
        <f t="shared" ca="1" si="1"/>
        <v>0</v>
      </c>
      <c r="I26" s="80">
        <f t="shared" ca="1" si="1"/>
        <v>1</v>
      </c>
      <c r="J26" s="8"/>
      <c r="K26" s="8"/>
      <c r="L26" s="8"/>
    </row>
    <row r="27" spans="1:13" x14ac:dyDescent="0.45">
      <c r="A27" s="89" t="s">
        <v>164</v>
      </c>
      <c r="B27" s="83">
        <f ca="1">AVERAGE(B4:B26)</f>
        <v>2.6</v>
      </c>
      <c r="C27" s="83">
        <f ca="1">AVERAGE(C4:C26)</f>
        <v>2.7</v>
      </c>
      <c r="D27" s="83">
        <f t="shared" ref="D27:I27" ca="1" si="2">AVERAGE(D4:D26)</f>
        <v>2.6</v>
      </c>
      <c r="E27" s="83">
        <f t="shared" ca="1" si="2"/>
        <v>1.9</v>
      </c>
      <c r="F27" s="83">
        <f t="shared" ca="1" si="2"/>
        <v>2.25</v>
      </c>
      <c r="G27" s="83">
        <f t="shared" ca="1" si="2"/>
        <v>2.4500000000000002</v>
      </c>
      <c r="H27" s="83">
        <f t="shared" ca="1" si="2"/>
        <v>2.2000000000000002</v>
      </c>
      <c r="I27" s="83">
        <f t="shared" ca="1" si="2"/>
        <v>2.4</v>
      </c>
      <c r="J27" s="8"/>
      <c r="K27" s="8"/>
      <c r="L27" s="8"/>
    </row>
    <row r="28" spans="1:13" x14ac:dyDescent="0.45">
      <c r="A28" s="82" t="s">
        <v>165</v>
      </c>
      <c r="B28" s="83">
        <f ca="1">ROUNDUP(B27,0)</f>
        <v>3</v>
      </c>
      <c r="C28" s="83">
        <f t="shared" ref="C28:I28" ca="1" si="3">ROUNDUP(C27,0)</f>
        <v>3</v>
      </c>
      <c r="D28" s="83">
        <f t="shared" ca="1" si="3"/>
        <v>3</v>
      </c>
      <c r="E28" s="83">
        <f t="shared" ca="1" si="3"/>
        <v>2</v>
      </c>
      <c r="F28" s="83">
        <f t="shared" ca="1" si="3"/>
        <v>3</v>
      </c>
      <c r="G28" s="83">
        <f t="shared" ca="1" si="3"/>
        <v>3</v>
      </c>
      <c r="H28" s="83">
        <f t="shared" ca="1" si="3"/>
        <v>3</v>
      </c>
      <c r="I28" s="83">
        <f t="shared" ca="1" si="3"/>
        <v>3</v>
      </c>
      <c r="J28" s="8"/>
      <c r="K28" s="8"/>
      <c r="L28" s="8"/>
    </row>
    <row r="29" spans="1:13" x14ac:dyDescent="0.45">
      <c r="A29" s="82" t="s">
        <v>164</v>
      </c>
      <c r="B29" s="181">
        <f ca="1">AVERAGE(B28:E28)</f>
        <v>2.75</v>
      </c>
      <c r="C29" s="182"/>
      <c r="D29" s="182"/>
      <c r="E29" s="183"/>
      <c r="F29" s="184">
        <f ca="1">AVERAGE(F28:I28)</f>
        <v>3</v>
      </c>
      <c r="G29" s="185"/>
      <c r="H29" s="185"/>
      <c r="I29" s="186"/>
      <c r="J29" s="8"/>
      <c r="K29" s="8"/>
      <c r="L29" s="8"/>
    </row>
    <row r="30" spans="1:13" x14ac:dyDescent="0.45">
      <c r="A30" s="58" t="s">
        <v>165</v>
      </c>
      <c r="B30" s="177">
        <f ca="1">ROUND(B29,1)</f>
        <v>2.8</v>
      </c>
      <c r="C30" s="177"/>
      <c r="D30" s="177"/>
      <c r="E30" s="177"/>
      <c r="F30" s="178">
        <f ca="1">ROUND(F29,1)</f>
        <v>3</v>
      </c>
      <c r="G30" s="179"/>
      <c r="H30" s="179"/>
      <c r="I30" s="180"/>
      <c r="J30" s="8"/>
      <c r="K30" s="8"/>
      <c r="L30" s="8"/>
    </row>
  </sheetData>
  <sheetProtection algorithmName="SHA-512" hashValue="39tf4q9LybJRqvnpYCYh17SuVGWBBh+xf+qA+TSx1zKv1lfzFwcCEgWqbrLKpmB6g+IUwhLd67Kq1lDeb2m1vg==" saltValue="RyAPH7oEqFNAI5W/kwucVg==" spinCount="100000" sheet="1" objects="1" scenarios="1"/>
  <mergeCells count="8">
    <mergeCell ref="B1:I1"/>
    <mergeCell ref="B2:E2"/>
    <mergeCell ref="F2:I2"/>
    <mergeCell ref="K4:L4"/>
    <mergeCell ref="B30:E30"/>
    <mergeCell ref="F30:I30"/>
    <mergeCell ref="B29:E29"/>
    <mergeCell ref="F29:I29"/>
  </mergeCells>
  <conditionalFormatting sqref="B4:I27">
    <cfRule type="cellIs" dxfId="0" priority="1" operator="equal">
      <formula>""</formula>
    </cfRule>
  </conditionalFormatting>
  <dataValidations count="2">
    <dataValidation type="decimal" allowBlank="1" showInputMessage="1" showErrorMessage="1" errorTitle="Rate Validation" error="Rate must be a number between 1 and 5" sqref="B4:I9 B11:I30" xr:uid="{00000000-0002-0000-1000-000000000000}">
      <formula1>$L$9</formula1>
      <formula2>$L$5</formula2>
    </dataValidation>
    <dataValidation type="decimal" showInputMessage="1" showErrorMessage="1" errorTitle="Rate Validation" error="Rate must be a number between 1 and 5" sqref="B10:I10" xr:uid="{00000000-0002-0000-1000-000001000000}">
      <formula1>$L$9</formula1>
      <formula2>$L$5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Count</vt:lpstr>
      <vt:lpstr>Sum</vt:lpstr>
      <vt:lpstr>Product</vt:lpstr>
      <vt:lpstr>Average</vt:lpstr>
      <vt:lpstr>Rounding</vt:lpstr>
      <vt:lpstr>Reference</vt:lpstr>
      <vt:lpstr>Data_validation</vt:lpstr>
      <vt:lpstr>Random</vt:lpstr>
      <vt:lpstr>Exercise1</vt:lpstr>
      <vt:lpstr>Exercise1-Solution</vt:lpstr>
      <vt:lpstr>Exercise2</vt:lpstr>
      <vt:lpstr>Exercise2-Solution</vt:lpstr>
      <vt:lpstr>Exercise3</vt:lpstr>
      <vt:lpstr>Exercise3-Solution</vt:lpstr>
      <vt:lpstr>Exercice4</vt:lpstr>
      <vt:lpstr>Exercice4-Solution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promethee</cp:lastModifiedBy>
  <dcterms:created xsi:type="dcterms:W3CDTF">2019-09-01T13:36:20Z</dcterms:created>
  <dcterms:modified xsi:type="dcterms:W3CDTF">2020-09-22T12:11:41Z</dcterms:modified>
</cp:coreProperties>
</file>